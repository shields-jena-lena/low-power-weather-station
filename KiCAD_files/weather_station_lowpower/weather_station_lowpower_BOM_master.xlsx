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el\Documents\Github\low-power-weather-station\KiCAD_files\weather_station_lowpower\"/>
    </mc:Choice>
  </mc:AlternateContent>
  <xr:revisionPtr revIDLastSave="0" documentId="13_ncr:1_{E77FC794-0B8A-4240-88E2-BF9861FDBE6C}" xr6:coauthVersionLast="47" xr6:coauthVersionMax="47" xr10:uidLastSave="{00000000-0000-0000-0000-000000000000}"/>
  <bookViews>
    <workbookView xWindow="2160" yWindow="0" windowWidth="20148" windowHeight="13758" xr2:uid="{37D7DDED-5265-4298-AC74-1A1E6D20F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55" i="1"/>
  <c r="D55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16" i="1"/>
</calcChain>
</file>

<file path=xl/sharedStrings.xml><?xml version="1.0" encoding="utf-8"?>
<sst xmlns="http://schemas.openxmlformats.org/spreadsheetml/2006/main" count="197" uniqueCount="157">
  <si>
    <t>Designator</t>
  </si>
  <si>
    <t xml:space="preserve">Component </t>
  </si>
  <si>
    <t>Number</t>
  </si>
  <si>
    <t>Total cost -</t>
  </si>
  <si>
    <t>Source of materials</t>
  </si>
  <si>
    <t>Material type</t>
  </si>
  <si>
    <t>Cost per unit -USD</t>
  </si>
  <si>
    <t>USD</t>
  </si>
  <si>
    <t>If possible, use the same designator here as you use in the associated design file. If that’s not possible, you will need to explain the relationship between the two.</t>
  </si>
  <si>
    <t>Name of Component 1</t>
  </si>
  <si>
    <t>Number of units</t>
  </si>
  <si>
    <t>Cost per unit and the currency used</t>
  </si>
  <si>
    <t>Total cost and the currency used</t>
  </si>
  <si>
    <t xml:space="preserve">If possible, include a direct link to a webpage where the component can be purchased </t>
  </si>
  <si>
    <t xml:space="preserve">Select from: </t>
  </si>
  <si>
    <t>-Metal</t>
  </si>
  <si>
    <t>-Semi-conductor</t>
  </si>
  <si>
    <t>-Ceramic</t>
  </si>
  <si>
    <t>-Polymer</t>
  </si>
  <si>
    <t>-Biomaterial</t>
  </si>
  <si>
    <t>-Organic</t>
  </si>
  <si>
    <t>-Inorganic</t>
  </si>
  <si>
    <t>-Composite</t>
  </si>
  <si>
    <t>-Nanomaterial</t>
  </si>
  <si>
    <t>-Semiconductor</t>
  </si>
  <si>
    <t>-Non-specific</t>
  </si>
  <si>
    <r>
      <t>-Other</t>
    </r>
    <r>
      <rPr>
        <i/>
        <sz val="10"/>
        <color theme="1"/>
        <rFont val="Arial"/>
        <family val="2"/>
      </rPr>
      <t xml:space="preserve"> </t>
    </r>
  </si>
  <si>
    <t>C1, C2</t>
  </si>
  <si>
    <t>C3</t>
  </si>
  <si>
    <t>D1</t>
  </si>
  <si>
    <t>D2</t>
  </si>
  <si>
    <t>J8</t>
  </si>
  <si>
    <t>J14</t>
  </si>
  <si>
    <t>J17</t>
  </si>
  <si>
    <t>On/Off1</t>
  </si>
  <si>
    <t>Q1</t>
  </si>
  <si>
    <t>R1</t>
  </si>
  <si>
    <t>R2</t>
  </si>
  <si>
    <t>R3</t>
  </si>
  <si>
    <t>R4, R5, R7, R8</t>
  </si>
  <si>
    <t>R6</t>
  </si>
  <si>
    <t>R9</t>
  </si>
  <si>
    <t>U1</t>
  </si>
  <si>
    <t>U_ATMega1</t>
  </si>
  <si>
    <t>Y1</t>
  </si>
  <si>
    <t>Micro_SD_Card_Adafruit</t>
  </si>
  <si>
    <t>~</t>
  </si>
  <si>
    <t>Crystal 16 MHz</t>
  </si>
  <si>
    <t>22 pF capacitor</t>
  </si>
  <si>
    <t>1 uF capacitor</t>
  </si>
  <si>
    <t>J1, J2</t>
  </si>
  <si>
    <t>Power inputs</t>
  </si>
  <si>
    <t>J3, J4, J5, J6, J7, J9, J10, J11, J12, J13, J15, J16</t>
  </si>
  <si>
    <t>Pins: RXD, TXD, Pin_4, Pin_5, Pin_6, A3, A2, A1, Pin_9, microsd_CD, RTC_32K, RTC_RST</t>
  </si>
  <si>
    <t>Metal</t>
  </si>
  <si>
    <t>1N4148 diode</t>
  </si>
  <si>
    <t>1N4007 diode</t>
  </si>
  <si>
    <t>RTC Socket</t>
  </si>
  <si>
    <t>LED BLUE DIFFUSED 1608 SMD</t>
  </si>
  <si>
    <t>100 Ohm resistor</t>
  </si>
  <si>
    <t>20 K Ohm resistor</t>
  </si>
  <si>
    <t>10 K Ohm resistor</t>
  </si>
  <si>
    <t>470 Ohm resistor</t>
  </si>
  <si>
    <t>4.7 K Ohm resistor</t>
  </si>
  <si>
    <t>SW1, SW2</t>
  </si>
  <si>
    <t>push buttons</t>
  </si>
  <si>
    <t>2N7002 MOSFET</t>
  </si>
  <si>
    <t>BS250FTA MOSFET</t>
  </si>
  <si>
    <t>ATMega socket</t>
  </si>
  <si>
    <t>6P4C RJ11 connector</t>
  </si>
  <si>
    <t>SW_SPST switch</t>
  </si>
  <si>
    <t>https://www.digikey.com/en/products/detail/rohm-semiconductor/SMLD12BN1WT86/9826162?s=N4IgTCBcDaIMoFkAyARAjGAQgOTQdQBUAOANgGECBabFEAXQF8g</t>
  </si>
  <si>
    <t>Ceramic</t>
  </si>
  <si>
    <t>https://www.digikey.com/en/products/detail/samsung-electro-mechanics/CL31C220JBCNNNC/3886861?s=N4IgTCBcDaIIxgOwDYC0CAMBmdqByAIiALoC%2BQA</t>
  </si>
  <si>
    <t>Electrolytic</t>
  </si>
  <si>
    <t>https://www.jameco.com/webapp/wcs/stores/servlet/ProductDisplay?catalogId=10001&amp;langId=-1&amp;storeId=10001&amp;productId=29831</t>
  </si>
  <si>
    <t>https://www.digikey.com/en/products/detail/diodes-incorporated/1N4148W-13-F/1933928?s=N4IgTCBcDaIIwDkAsckA4DqBaOBmAYgCICSAwgCpYKEgC6AvkA</t>
  </si>
  <si>
    <t>Semiconductor</t>
  </si>
  <si>
    <t xml:space="preserve">Semiconductor </t>
  </si>
  <si>
    <t>https://www.digikey.com/en/products/detail/smc-diode-solutions/1N4007FL/11657817?s=N4IgTCBcDaIIwDYCsSC0cByAWADDg7AGIAyAwgCqoYAiIAugL5A</t>
  </si>
  <si>
    <t>https://www.digikey.com/en/products/detail/on-shore-technology-inc/OSTTC022162/614558?s=N4IgTCBcDaIKIBEwDYAMBOAtAOQSAugL5A</t>
  </si>
  <si>
    <t>Other</t>
  </si>
  <si>
    <t>https://www.digikey.com/en/products/detail/amphenol-cs-fci/87180-064LF/1001370https://www.digikey.com/en/products/detail/amphenol-cs-fci/87180-064LF/1001370</t>
  </si>
  <si>
    <t>https://www.digikey.com/en/products/detail/w%C3%BCrth-elektronik/61300811821/17737805?s=N4IgTCBcDaIOwGYwFoBsBGBAGLAOd6uY6yAcgCIgC6AvkA</t>
  </si>
  <si>
    <t>https://www.adafruit.com/product/254</t>
  </si>
  <si>
    <t>https://www.digikey.com/en/products/detail/same-sky-formerly-cui-devices/DS04-254-2-01BK-SMT/11310848?s=N4IgTCBcDa5mBmAtAEQMoAYAsSwFYcwkMBGAIQGkk0BZAFSQDkUQBdAXyA</t>
  </si>
  <si>
    <t>Polymer</t>
  </si>
  <si>
    <t>https://www.digikey.com/en/products/detail/shenzhen-slkormicro-semicon-co-ltd/2N7002/21853067?s=N4IgTCBcDaIKwGYCcSC0YByB2ADDsAwgCqoYAiIAugL5A</t>
  </si>
  <si>
    <t>https://www.digikey.com/en/products/detail/koa-speer-electronics-inc/RK73H2BTTD1000F/10235871?s=N4IgTCBcDa4AwEYCcBaASgaQOwGYASYAQgCrEAiCcVAYgMLEoByZIAugL5A</t>
  </si>
  <si>
    <t xml:space="preserve">Non-specific </t>
  </si>
  <si>
    <t>https://www.digikey.com/en/products/detail/yageo/RC1206FR-0720KL/728672?s=N4IgTCBcDaIMwEYEFowAYB0aDSAxASgMIAqyAcgCIgC6AvkA</t>
  </si>
  <si>
    <t>https://www.digikey.com/en/products/detail/yageo/RC1206FR-0710KL/728483?s=N4IgTCBcDaIMwEYEFoEAYB0aDSAxASgMIAqyAcgCIgC6AvkA</t>
  </si>
  <si>
    <t>https://www.digikey.com/en/products/detail/te-connectivity-passive-product/CRGCQ1206F470R/8576408?s=N4IgTCBcDaIIIEYwE4AcAGAbAYQCoFoA5AERAF0BfIA</t>
  </si>
  <si>
    <t>https://www.digikey.com/en/products/detail/yageo/RC1206FR-074K7L/728887?s=N4IgTCBcDaIMwEYEFoAsA6A7ABgNIDEAlAYQBVkA5AERAF0BfIA</t>
  </si>
  <si>
    <t>https://www.digikey.com/en/products/detail/c-k/PTS636SM50JSMTR-LFS/10071732?s=N4IgTCBcDaIMIGkByBGMBmFBOAtCnSAIiALoC%2BQA</t>
  </si>
  <si>
    <t>https://www.digikey.com/en/products/detail/diodes-incorporated/BS250FTA/58819?s=N4IgTCBcDaIEIGUwFYAMAxAwgFQLQDkAREAXQF8g</t>
  </si>
  <si>
    <t>https://www.digikey.com/en/products/detail/adam-tech/ICS-328-T/9832859?s=N4IgTCBcDa4AwFYDsBaAkgYQMooMxgA4UAVFAOQBEQBdAXyA</t>
  </si>
  <si>
    <t>https://www.amazon.com/dp/B005MN8FPW?ref_=pe_1815430_211938580</t>
  </si>
  <si>
    <t>Inorganic</t>
  </si>
  <si>
    <t>Battery holder</t>
  </si>
  <si>
    <t xml:space="preserve">Battery  </t>
  </si>
  <si>
    <t>Real Time Clock</t>
  </si>
  <si>
    <t>Coin Battery</t>
  </si>
  <si>
    <t>JST wire</t>
  </si>
  <si>
    <t>Temp/humidity sensor</t>
  </si>
  <si>
    <t>microSD card</t>
  </si>
  <si>
    <t>Microcontroller unit</t>
  </si>
  <si>
    <t>wind sensors</t>
  </si>
  <si>
    <t>Housing box</t>
  </si>
  <si>
    <t>Housing box screws</t>
  </si>
  <si>
    <t>Sensor box</t>
  </si>
  <si>
    <t>Sensor box bolt</t>
  </si>
  <si>
    <t>sensor box nut</t>
  </si>
  <si>
    <t xml:space="preserve">Sensor box screws </t>
  </si>
  <si>
    <t>PCB board</t>
  </si>
  <si>
    <t>18650 Battery Clip Holder Box Case</t>
  </si>
  <si>
    <t>18650 26V 2550mAh 7.5A</t>
  </si>
  <si>
    <t>DS3231</t>
  </si>
  <si>
    <t>CR1220</t>
  </si>
  <si>
    <t>Mini Micro SH 1.0 JST 4-pin connector plug male with 150mm cable</t>
  </si>
  <si>
    <t>BME280</t>
  </si>
  <si>
    <t xml:space="preserve">32 GB microSD </t>
  </si>
  <si>
    <t>ATMEGA328P-PU</t>
  </si>
  <si>
    <t>Wind/Rain Sensor Assembly (less rain gauge)</t>
  </si>
  <si>
    <t>LP-70F</t>
  </si>
  <si>
    <t>#4-24 x .25"</t>
  </si>
  <si>
    <t>#8-32 x 1/2"</t>
  </si>
  <si>
    <t>#8-32</t>
  </si>
  <si>
    <t>#2 x 3/8"</t>
  </si>
  <si>
    <t>https://www.amazon.com/dp/B00LSG5BKO?ref_=pe_1815430_211938580</t>
  </si>
  <si>
    <t>https://www.18650batterystore.com/products/eve-26v-18650-button-top-battery</t>
  </si>
  <si>
    <t>Lithium-ion</t>
  </si>
  <si>
    <t>https://www.adafruit.com/product/5188</t>
  </si>
  <si>
    <t>https://www.amazon.com/gp/product/B08GKYCD1Z/ref=ox_sc_act_title_2?smid=A2DJT6HLNLTD4S&amp;th=1</t>
  </si>
  <si>
    <t>Lithium Manganese Dioxide</t>
  </si>
  <si>
    <t>https://www.amazon.com/dp/B01DUC1M2O?ref_=pe_1815430_211938580</t>
  </si>
  <si>
    <t>Metal and Polymer</t>
  </si>
  <si>
    <t>https://www.adafruit.com/product/2652</t>
  </si>
  <si>
    <t>https://www.amazon.com/Lexar-Micro-microSDHC-Memory-Adapter/dp/B0CPDGYLGC/ref=sr_1_1_sspa?crid=33B3LE2J0N183&amp;dib=eyJ2IjoiMSJ9.-14J3gHOFbHKiyXMk5PaYNqTrD5JpQUTyqDrVcHVPj0ZhiOfDNETi_XnDbTy_h6KDxKDElxjUJjGOQI8AESt_y8wfJ2JHsSnHCz72qSDB3IrENCKsmbGggNiCL5iNcaMtzZMB5qqUxd6_RTtV-7r-MQWC2EMYWD1SSdUuZlC7AaTMI4wIvV3z6BMNty_ex8XdfLlGEiIWu3nP8vMvwEaZvIRxbdnoSs-t12oNLN9JRk.UKeFt6k0Jdi5y1ZqDjLal89oYJiZ9jQz1dbvZRo6Cj0&amp;dib_tag=se&amp;keywords=micro%2Bsd%2Bcard%2B32gb&amp;qid=1724348781&amp;sprefix=micro%2Bsd%2Bcard%2B%2Caps%2C85&amp;sr=8-1-spons&amp;sp_csd=d2lkZ2V0TmFtZT1zcF9hdGY&amp;th=1</t>
  </si>
  <si>
    <t>https://www.digikey.com/en/products/detail/microchip-technology/ATMEGA328P-PU/1914589</t>
  </si>
  <si>
    <t>https://www.argentdata.com/catalog/product_info.php?products_id=145</t>
  </si>
  <si>
    <t>https://www.polycase.com/lp-70f</t>
  </si>
  <si>
    <t>https://www.polycase.com/screws-mbr-100</t>
  </si>
  <si>
    <t>https://www.pcbway.com/</t>
  </si>
  <si>
    <t>https://www.homedepot.com/p/Everbilt-2-x-3-8-in-Phillips-Round-Head-Brass-Wood-Screw-6-Pack-809901/204587524</t>
  </si>
  <si>
    <t>https://www.homedepot.com/p/Everbilt-8-32-Zinc-Plated-Machine-Screw-Nut-100-Pack-800252/204273373</t>
  </si>
  <si>
    <t>https://www.homedepot.com/p/8-32-x-1-2-in-Zinc-Plated-Combo-Round-Head-Machine-Screw-100-Pack-800732/204274425#overlay</t>
  </si>
  <si>
    <t>U post 3ft - 7ft</t>
  </si>
  <si>
    <t>https://www.homedepot.com/p/Everbilt-1-in-x-2-1-4-in-x-7-ft-Green-Steel-Fence-U-Post-with-Anchor-Plate-901157EB/205960885</t>
  </si>
  <si>
    <t>$4.70-$10.28</t>
  </si>
  <si>
    <t>Mounting equipment - pole</t>
  </si>
  <si>
    <t>Mounting equipment - nut</t>
  </si>
  <si>
    <t>Mounting equipment - clamp</t>
  </si>
  <si>
    <t>Adjustable hose clamp</t>
  </si>
  <si>
    <t>#8-32 x 1-3/4"</t>
  </si>
  <si>
    <t>Mounting equipment - screw</t>
  </si>
  <si>
    <t>https://www.homedepot.com/p/Everbilt-8-32-x-1-3-4-in-Zinc-Plated-Combo-Truss-Head-Machine-Screw-50-Pack-800992/204282656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</si>
</sst>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6" fillId="0" borderId="0" xfId="2"/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05MN8FPW?ref_=pe_1815430_211938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A9CF-520B-4924-B7E4-645064B9E41F}">
  <dimension ref="A1:G56"/>
  <sheetViews>
    <sheetView tabSelected="1" zoomScale="71" workbookViewId="0">
      <selection activeCell="E55" sqref="E55"/>
    </sheetView>
  </sheetViews>
  <sheetFormatPr defaultRowHeight="14.4" x14ac:dyDescent="0.55000000000000004"/>
  <cols>
    <col min="1" max="1" width="12.7890625" customWidth="1"/>
    <col min="2" max="2" width="13.41796875" customWidth="1"/>
    <col min="3" max="3" width="10.89453125" customWidth="1"/>
    <col min="4" max="4" width="12.3125" customWidth="1"/>
    <col min="5" max="5" width="13.47265625" customWidth="1"/>
    <col min="6" max="6" width="12.7890625" customWidth="1"/>
    <col min="7" max="7" width="14.26171875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6</v>
      </c>
      <c r="E1" s="1" t="s">
        <v>3</v>
      </c>
      <c r="F1" s="3" t="s">
        <v>4</v>
      </c>
      <c r="G1" s="3" t="s">
        <v>5</v>
      </c>
    </row>
    <row r="2" spans="1:7" ht="14.7" thickBot="1" x14ac:dyDescent="0.6">
      <c r="A2" s="4"/>
      <c r="B2" s="4"/>
      <c r="C2" s="4"/>
      <c r="D2" s="4"/>
      <c r="E2" s="2" t="s">
        <v>7</v>
      </c>
      <c r="F2" s="4"/>
      <c r="G2" s="4"/>
    </row>
    <row r="3" spans="1:7" x14ac:dyDescent="0.55000000000000004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5" t="s">
        <v>14</v>
      </c>
    </row>
    <row r="4" spans="1:7" x14ac:dyDescent="0.55000000000000004">
      <c r="A4" s="9"/>
      <c r="B4" s="9"/>
      <c r="C4" s="9"/>
      <c r="D4" s="9"/>
      <c r="E4" s="9"/>
      <c r="F4" s="9"/>
      <c r="G4" s="6" t="s">
        <v>15</v>
      </c>
    </row>
    <row r="5" spans="1:7" x14ac:dyDescent="0.55000000000000004">
      <c r="A5" s="9"/>
      <c r="B5" s="9"/>
      <c r="C5" s="9"/>
      <c r="D5" s="9"/>
      <c r="E5" s="9"/>
      <c r="F5" s="9"/>
      <c r="G5" s="6" t="s">
        <v>16</v>
      </c>
    </row>
    <row r="6" spans="1:7" x14ac:dyDescent="0.55000000000000004">
      <c r="A6" s="9"/>
      <c r="B6" s="9"/>
      <c r="C6" s="9"/>
      <c r="D6" s="9"/>
      <c r="E6" s="9"/>
      <c r="F6" s="9"/>
      <c r="G6" s="6" t="s">
        <v>17</v>
      </c>
    </row>
    <row r="7" spans="1:7" x14ac:dyDescent="0.55000000000000004">
      <c r="A7" s="9"/>
      <c r="B7" s="9"/>
      <c r="C7" s="9"/>
      <c r="D7" s="9"/>
      <c r="E7" s="9"/>
      <c r="F7" s="9"/>
      <c r="G7" s="6" t="s">
        <v>18</v>
      </c>
    </row>
    <row r="8" spans="1:7" x14ac:dyDescent="0.55000000000000004">
      <c r="A8" s="9"/>
      <c r="B8" s="9"/>
      <c r="C8" s="9"/>
      <c r="D8" s="9"/>
      <c r="E8" s="9"/>
      <c r="F8" s="9"/>
      <c r="G8" s="6" t="s">
        <v>19</v>
      </c>
    </row>
    <row r="9" spans="1:7" x14ac:dyDescent="0.55000000000000004">
      <c r="A9" s="9"/>
      <c r="B9" s="9"/>
      <c r="C9" s="9"/>
      <c r="D9" s="9"/>
      <c r="E9" s="9"/>
      <c r="F9" s="9"/>
      <c r="G9" s="6" t="s">
        <v>20</v>
      </c>
    </row>
    <row r="10" spans="1:7" x14ac:dyDescent="0.55000000000000004">
      <c r="A10" s="9"/>
      <c r="B10" s="9"/>
      <c r="C10" s="9"/>
      <c r="D10" s="9"/>
      <c r="E10" s="9"/>
      <c r="F10" s="9"/>
      <c r="G10" s="6" t="s">
        <v>21</v>
      </c>
    </row>
    <row r="11" spans="1:7" x14ac:dyDescent="0.55000000000000004">
      <c r="A11" s="9"/>
      <c r="B11" s="9"/>
      <c r="C11" s="9"/>
      <c r="D11" s="9"/>
      <c r="E11" s="9"/>
      <c r="F11" s="9"/>
      <c r="G11" s="6" t="s">
        <v>22</v>
      </c>
    </row>
    <row r="12" spans="1:7" x14ac:dyDescent="0.55000000000000004">
      <c r="A12" s="9"/>
      <c r="B12" s="9"/>
      <c r="C12" s="9"/>
      <c r="D12" s="9"/>
      <c r="E12" s="9"/>
      <c r="F12" s="9"/>
      <c r="G12" s="6" t="s">
        <v>23</v>
      </c>
    </row>
    <row r="13" spans="1:7" x14ac:dyDescent="0.55000000000000004">
      <c r="A13" s="9"/>
      <c r="B13" s="9"/>
      <c r="C13" s="9"/>
      <c r="D13" s="9"/>
      <c r="E13" s="9"/>
      <c r="F13" s="9"/>
      <c r="G13" s="6" t="s">
        <v>24</v>
      </c>
    </row>
    <row r="14" spans="1:7" x14ac:dyDescent="0.55000000000000004">
      <c r="A14" s="9"/>
      <c r="B14" s="9"/>
      <c r="C14" s="9"/>
      <c r="D14" s="9"/>
      <c r="E14" s="9"/>
      <c r="F14" s="9"/>
      <c r="G14" s="6" t="s">
        <v>25</v>
      </c>
    </row>
    <row r="15" spans="1:7" ht="14.7" thickBot="1" x14ac:dyDescent="0.6">
      <c r="A15" s="10"/>
      <c r="B15" s="10"/>
      <c r="C15" s="10"/>
      <c r="D15" s="10"/>
      <c r="E15" s="10"/>
      <c r="F15" s="10"/>
      <c r="G15" s="7" t="s">
        <v>26</v>
      </c>
    </row>
    <row r="16" spans="1:7" x14ac:dyDescent="0.55000000000000004">
      <c r="A16" t="s">
        <v>27</v>
      </c>
      <c r="B16" t="s">
        <v>48</v>
      </c>
      <c r="C16">
        <v>2</v>
      </c>
      <c r="D16" s="14">
        <v>0.12</v>
      </c>
      <c r="E16" s="14">
        <f>C16*D16</f>
        <v>0.24</v>
      </c>
      <c r="F16" t="s">
        <v>73</v>
      </c>
      <c r="G16" s="11" t="s">
        <v>72</v>
      </c>
    </row>
    <row r="17" spans="1:7" x14ac:dyDescent="0.55000000000000004">
      <c r="A17" t="s">
        <v>28</v>
      </c>
      <c r="B17" t="s">
        <v>49</v>
      </c>
      <c r="C17">
        <v>1</v>
      </c>
      <c r="D17" s="14">
        <v>0.14000000000000001</v>
      </c>
      <c r="E17" s="14">
        <f t="shared" ref="E17:E52" si="0">C17*D17</f>
        <v>0.14000000000000001</v>
      </c>
      <c r="F17" t="s">
        <v>75</v>
      </c>
      <c r="G17" s="11" t="s">
        <v>74</v>
      </c>
    </row>
    <row r="18" spans="1:7" x14ac:dyDescent="0.55000000000000004">
      <c r="A18" t="s">
        <v>29</v>
      </c>
      <c r="B18" t="s">
        <v>55</v>
      </c>
      <c r="C18">
        <v>1</v>
      </c>
      <c r="D18" s="14">
        <v>0.1</v>
      </c>
      <c r="E18" s="14">
        <f t="shared" si="0"/>
        <v>0.1</v>
      </c>
      <c r="F18" t="s">
        <v>76</v>
      </c>
      <c r="G18" s="11" t="s">
        <v>77</v>
      </c>
    </row>
    <row r="19" spans="1:7" x14ac:dyDescent="0.55000000000000004">
      <c r="A19" t="s">
        <v>30</v>
      </c>
      <c r="B19" t="s">
        <v>56</v>
      </c>
      <c r="C19">
        <v>1</v>
      </c>
      <c r="D19" s="14">
        <v>0.13</v>
      </c>
      <c r="E19" s="14">
        <f t="shared" si="0"/>
        <v>0.13</v>
      </c>
      <c r="F19" t="s">
        <v>79</v>
      </c>
      <c r="G19" s="11" t="s">
        <v>78</v>
      </c>
    </row>
    <row r="20" spans="1:7" x14ac:dyDescent="0.55000000000000004">
      <c r="A20" t="s">
        <v>50</v>
      </c>
      <c r="B20" t="s">
        <v>51</v>
      </c>
      <c r="C20">
        <v>2</v>
      </c>
      <c r="D20" s="14">
        <v>0.56999999999999995</v>
      </c>
      <c r="E20" s="14">
        <f t="shared" si="0"/>
        <v>1.1399999999999999</v>
      </c>
      <c r="F20" t="s">
        <v>80</v>
      </c>
      <c r="G20" s="11" t="s">
        <v>86</v>
      </c>
    </row>
    <row r="21" spans="1:7" ht="14.4" customHeight="1" x14ac:dyDescent="0.55000000000000004">
      <c r="A21" t="s">
        <v>52</v>
      </c>
      <c r="B21" t="s">
        <v>53</v>
      </c>
      <c r="C21">
        <v>12</v>
      </c>
      <c r="D21" s="14" t="s">
        <v>46</v>
      </c>
      <c r="E21" s="14" t="s">
        <v>46</v>
      </c>
      <c r="F21" t="s">
        <v>46</v>
      </c>
      <c r="G21" t="s">
        <v>54</v>
      </c>
    </row>
    <row r="22" spans="1:7" x14ac:dyDescent="0.55000000000000004">
      <c r="A22" t="s">
        <v>31</v>
      </c>
      <c r="B22" t="s">
        <v>69</v>
      </c>
      <c r="C22">
        <v>1</v>
      </c>
      <c r="D22" s="14">
        <v>1.63</v>
      </c>
      <c r="E22" s="14">
        <f t="shared" si="0"/>
        <v>1.63</v>
      </c>
      <c r="F22" t="s">
        <v>82</v>
      </c>
      <c r="G22" s="12" t="s">
        <v>86</v>
      </c>
    </row>
    <row r="23" spans="1:7" x14ac:dyDescent="0.55000000000000004">
      <c r="A23" t="s">
        <v>32</v>
      </c>
      <c r="B23" t="s">
        <v>57</v>
      </c>
      <c r="C23">
        <v>1</v>
      </c>
      <c r="D23" s="14">
        <v>0.38</v>
      </c>
      <c r="E23" s="14">
        <f t="shared" si="0"/>
        <v>0.38</v>
      </c>
      <c r="F23" t="s">
        <v>83</v>
      </c>
      <c r="G23" s="12" t="s">
        <v>86</v>
      </c>
    </row>
    <row r="24" spans="1:7" x14ac:dyDescent="0.55000000000000004">
      <c r="A24" t="s">
        <v>33</v>
      </c>
      <c r="B24" t="s">
        <v>45</v>
      </c>
      <c r="C24">
        <v>1</v>
      </c>
      <c r="D24" s="14">
        <v>7.5</v>
      </c>
      <c r="E24" s="14">
        <f t="shared" si="0"/>
        <v>7.5</v>
      </c>
      <c r="F24" t="s">
        <v>84</v>
      </c>
      <c r="G24" s="12" t="s">
        <v>81</v>
      </c>
    </row>
    <row r="25" spans="1:7" x14ac:dyDescent="0.55000000000000004">
      <c r="A25" t="s">
        <v>34</v>
      </c>
      <c r="B25" t="s">
        <v>70</v>
      </c>
      <c r="C25">
        <v>1</v>
      </c>
      <c r="D25" s="14">
        <v>0.71</v>
      </c>
      <c r="E25" s="14">
        <f t="shared" si="0"/>
        <v>0.71</v>
      </c>
      <c r="F25" t="s">
        <v>85</v>
      </c>
      <c r="G25" s="12" t="s">
        <v>86</v>
      </c>
    </row>
    <row r="26" spans="1:7" x14ac:dyDescent="0.55000000000000004">
      <c r="A26" t="s">
        <v>35</v>
      </c>
      <c r="B26" t="s">
        <v>66</v>
      </c>
      <c r="C26">
        <v>1</v>
      </c>
      <c r="D26" s="14">
        <v>0.1</v>
      </c>
      <c r="E26" s="14">
        <f t="shared" si="0"/>
        <v>0.1</v>
      </c>
      <c r="F26" t="s">
        <v>87</v>
      </c>
      <c r="G26" s="12" t="s">
        <v>77</v>
      </c>
    </row>
    <row r="27" spans="1:7" x14ac:dyDescent="0.55000000000000004">
      <c r="A27" t="s">
        <v>36</v>
      </c>
      <c r="B27" t="s">
        <v>58</v>
      </c>
      <c r="C27">
        <v>1</v>
      </c>
      <c r="D27" s="14">
        <v>0.31</v>
      </c>
      <c r="E27" s="14">
        <f t="shared" si="0"/>
        <v>0.31</v>
      </c>
      <c r="F27" t="s">
        <v>71</v>
      </c>
      <c r="G27" t="s">
        <v>77</v>
      </c>
    </row>
    <row r="28" spans="1:7" x14ac:dyDescent="0.55000000000000004">
      <c r="A28" t="s">
        <v>37</v>
      </c>
      <c r="B28" t="s">
        <v>59</v>
      </c>
      <c r="C28">
        <v>1</v>
      </c>
      <c r="D28" s="14">
        <v>0.1</v>
      </c>
      <c r="E28" s="14">
        <f t="shared" si="0"/>
        <v>0.1</v>
      </c>
      <c r="F28" t="s">
        <v>88</v>
      </c>
      <c r="G28" s="12" t="s">
        <v>89</v>
      </c>
    </row>
    <row r="29" spans="1:7" x14ac:dyDescent="0.55000000000000004">
      <c r="A29" t="s">
        <v>38</v>
      </c>
      <c r="B29" t="s">
        <v>60</v>
      </c>
      <c r="C29">
        <v>1</v>
      </c>
      <c r="D29" s="14">
        <v>0.1</v>
      </c>
      <c r="E29" s="14">
        <f t="shared" si="0"/>
        <v>0.1</v>
      </c>
      <c r="F29" t="s">
        <v>90</v>
      </c>
      <c r="G29" s="12" t="s">
        <v>89</v>
      </c>
    </row>
    <row r="30" spans="1:7" x14ac:dyDescent="0.55000000000000004">
      <c r="A30" t="s">
        <v>39</v>
      </c>
      <c r="B30" t="s">
        <v>61</v>
      </c>
      <c r="C30">
        <v>4</v>
      </c>
      <c r="D30" s="14">
        <v>0.1</v>
      </c>
      <c r="E30" s="14">
        <f t="shared" si="0"/>
        <v>0.4</v>
      </c>
      <c r="F30" t="s">
        <v>91</v>
      </c>
      <c r="G30" s="12" t="s">
        <v>89</v>
      </c>
    </row>
    <row r="31" spans="1:7" x14ac:dyDescent="0.55000000000000004">
      <c r="A31" t="s">
        <v>40</v>
      </c>
      <c r="B31" t="s">
        <v>62</v>
      </c>
      <c r="C31">
        <v>1</v>
      </c>
      <c r="D31" s="14">
        <v>0.1</v>
      </c>
      <c r="E31" s="14">
        <f t="shared" si="0"/>
        <v>0.1</v>
      </c>
      <c r="F31" t="s">
        <v>92</v>
      </c>
      <c r="G31" s="12" t="s">
        <v>89</v>
      </c>
    </row>
    <row r="32" spans="1:7" x14ac:dyDescent="0.55000000000000004">
      <c r="A32" t="s">
        <v>41</v>
      </c>
      <c r="B32" t="s">
        <v>63</v>
      </c>
      <c r="C32">
        <v>1</v>
      </c>
      <c r="D32" s="14">
        <v>0.1</v>
      </c>
      <c r="E32" s="14">
        <f t="shared" si="0"/>
        <v>0.1</v>
      </c>
      <c r="F32" t="s">
        <v>93</v>
      </c>
      <c r="G32" s="12" t="s">
        <v>89</v>
      </c>
    </row>
    <row r="33" spans="1:7" x14ac:dyDescent="0.55000000000000004">
      <c r="A33" t="s">
        <v>64</v>
      </c>
      <c r="B33" t="s">
        <v>65</v>
      </c>
      <c r="C33">
        <v>2</v>
      </c>
      <c r="D33" s="14">
        <v>0.21</v>
      </c>
      <c r="E33" s="14">
        <f t="shared" si="0"/>
        <v>0.42</v>
      </c>
      <c r="F33" t="s">
        <v>94</v>
      </c>
      <c r="G33" s="12" t="s">
        <v>89</v>
      </c>
    </row>
    <row r="34" spans="1:7" x14ac:dyDescent="0.55000000000000004">
      <c r="A34" t="s">
        <v>42</v>
      </c>
      <c r="B34" t="s">
        <v>67</v>
      </c>
      <c r="C34">
        <v>1</v>
      </c>
      <c r="D34" s="14">
        <v>0.8</v>
      </c>
      <c r="E34" s="14">
        <f t="shared" si="0"/>
        <v>0.8</v>
      </c>
      <c r="F34" t="s">
        <v>95</v>
      </c>
      <c r="G34" s="12" t="s">
        <v>77</v>
      </c>
    </row>
    <row r="35" spans="1:7" x14ac:dyDescent="0.55000000000000004">
      <c r="A35" t="s">
        <v>43</v>
      </c>
      <c r="B35" t="s">
        <v>68</v>
      </c>
      <c r="C35">
        <v>1</v>
      </c>
      <c r="D35" s="14">
        <v>0.24</v>
      </c>
      <c r="E35" s="14">
        <f t="shared" si="0"/>
        <v>0.24</v>
      </c>
      <c r="F35" t="s">
        <v>96</v>
      </c>
      <c r="G35" s="12" t="s">
        <v>86</v>
      </c>
    </row>
    <row r="36" spans="1:7" x14ac:dyDescent="0.55000000000000004">
      <c r="A36" t="s">
        <v>44</v>
      </c>
      <c r="B36" t="s">
        <v>47</v>
      </c>
      <c r="C36">
        <v>1</v>
      </c>
      <c r="D36" s="14">
        <v>0.2</v>
      </c>
      <c r="E36" s="14">
        <f t="shared" si="0"/>
        <v>0.2</v>
      </c>
      <c r="F36" s="13" t="s">
        <v>97</v>
      </c>
      <c r="G36" s="12" t="s">
        <v>98</v>
      </c>
    </row>
    <row r="37" spans="1:7" x14ac:dyDescent="0.55000000000000004">
      <c r="A37" t="s">
        <v>114</v>
      </c>
      <c r="B37" t="s">
        <v>114</v>
      </c>
      <c r="C37">
        <v>1</v>
      </c>
      <c r="D37" s="14">
        <v>2.63</v>
      </c>
      <c r="E37" s="14">
        <f t="shared" si="0"/>
        <v>2.63</v>
      </c>
      <c r="F37" t="s">
        <v>143</v>
      </c>
      <c r="G37" s="12" t="s">
        <v>81</v>
      </c>
    </row>
    <row r="38" spans="1:7" x14ac:dyDescent="0.55000000000000004">
      <c r="A38" t="s">
        <v>99</v>
      </c>
      <c r="B38" t="s">
        <v>115</v>
      </c>
      <c r="C38">
        <v>1</v>
      </c>
      <c r="D38" s="14">
        <v>0.8</v>
      </c>
      <c r="E38" s="14">
        <f t="shared" si="0"/>
        <v>0.8</v>
      </c>
      <c r="F38" t="s">
        <v>129</v>
      </c>
      <c r="G38" s="12" t="s">
        <v>86</v>
      </c>
    </row>
    <row r="39" spans="1:7" x14ac:dyDescent="0.55000000000000004">
      <c r="A39" t="s">
        <v>100</v>
      </c>
      <c r="B39" t="s">
        <v>116</v>
      </c>
      <c r="C39">
        <v>1</v>
      </c>
      <c r="D39" s="14">
        <v>2.27</v>
      </c>
      <c r="E39" s="14">
        <f t="shared" si="0"/>
        <v>2.27</v>
      </c>
      <c r="F39" t="s">
        <v>130</v>
      </c>
      <c r="G39" s="12" t="s">
        <v>131</v>
      </c>
    </row>
    <row r="40" spans="1:7" x14ac:dyDescent="0.55000000000000004">
      <c r="A40" t="s">
        <v>101</v>
      </c>
      <c r="B40" t="s">
        <v>117</v>
      </c>
      <c r="C40">
        <v>1</v>
      </c>
      <c r="D40" s="14">
        <v>13.95</v>
      </c>
      <c r="E40" s="14">
        <f t="shared" si="0"/>
        <v>13.95</v>
      </c>
      <c r="F40" t="s">
        <v>132</v>
      </c>
      <c r="G40" s="12" t="s">
        <v>81</v>
      </c>
    </row>
    <row r="41" spans="1:7" ht="36.9" x14ac:dyDescent="0.55000000000000004">
      <c r="A41" t="s">
        <v>102</v>
      </c>
      <c r="B41" t="s">
        <v>118</v>
      </c>
      <c r="C41">
        <v>1</v>
      </c>
      <c r="D41" s="14">
        <v>0.42</v>
      </c>
      <c r="E41" s="14">
        <f t="shared" si="0"/>
        <v>0.42</v>
      </c>
      <c r="F41" t="s">
        <v>133</v>
      </c>
      <c r="G41" s="12" t="s">
        <v>134</v>
      </c>
    </row>
    <row r="42" spans="1:7" ht="24.6" x14ac:dyDescent="0.55000000000000004">
      <c r="A42" t="s">
        <v>103</v>
      </c>
      <c r="B42" t="s">
        <v>119</v>
      </c>
      <c r="C42">
        <v>2</v>
      </c>
      <c r="D42" s="14">
        <v>0.42</v>
      </c>
      <c r="E42" s="14">
        <f t="shared" si="0"/>
        <v>0.84</v>
      </c>
      <c r="F42" t="s">
        <v>135</v>
      </c>
      <c r="G42" s="12" t="s">
        <v>136</v>
      </c>
    </row>
    <row r="43" spans="1:7" x14ac:dyDescent="0.55000000000000004">
      <c r="A43" t="s">
        <v>104</v>
      </c>
      <c r="B43" t="s">
        <v>120</v>
      </c>
      <c r="C43">
        <v>1</v>
      </c>
      <c r="D43" s="14">
        <v>14.95</v>
      </c>
      <c r="E43" s="14">
        <f t="shared" si="0"/>
        <v>14.95</v>
      </c>
      <c r="F43" t="s">
        <v>137</v>
      </c>
      <c r="G43" s="12" t="s">
        <v>81</v>
      </c>
    </row>
    <row r="44" spans="1:7" x14ac:dyDescent="0.55000000000000004">
      <c r="A44" t="s">
        <v>105</v>
      </c>
      <c r="B44" t="s">
        <v>121</v>
      </c>
      <c r="C44">
        <v>1</v>
      </c>
      <c r="D44" s="14">
        <v>5.2</v>
      </c>
      <c r="E44" s="14">
        <f t="shared" si="0"/>
        <v>5.2</v>
      </c>
      <c r="F44" t="s">
        <v>138</v>
      </c>
      <c r="G44" s="12" t="s">
        <v>81</v>
      </c>
    </row>
    <row r="45" spans="1:7" x14ac:dyDescent="0.55000000000000004">
      <c r="A45" t="s">
        <v>106</v>
      </c>
      <c r="B45" t="s">
        <v>122</v>
      </c>
      <c r="C45">
        <v>1</v>
      </c>
      <c r="D45" s="14">
        <v>2.89</v>
      </c>
      <c r="E45" s="14">
        <f t="shared" si="0"/>
        <v>2.89</v>
      </c>
      <c r="F45" t="s">
        <v>139</v>
      </c>
      <c r="G45" s="12" t="s">
        <v>81</v>
      </c>
    </row>
    <row r="46" spans="1:7" x14ac:dyDescent="0.55000000000000004">
      <c r="A46" t="s">
        <v>107</v>
      </c>
      <c r="B46" t="s">
        <v>123</v>
      </c>
      <c r="C46">
        <v>1</v>
      </c>
      <c r="D46" s="14">
        <v>45.91</v>
      </c>
      <c r="E46" s="14">
        <f t="shared" si="0"/>
        <v>45.91</v>
      </c>
      <c r="F46" t="s">
        <v>140</v>
      </c>
      <c r="G46" s="12" t="s">
        <v>86</v>
      </c>
    </row>
    <row r="47" spans="1:7" x14ac:dyDescent="0.55000000000000004">
      <c r="A47" t="s">
        <v>108</v>
      </c>
      <c r="B47" t="s">
        <v>124</v>
      </c>
      <c r="C47">
        <v>1</v>
      </c>
      <c r="D47" s="14">
        <v>5.4</v>
      </c>
      <c r="E47" s="14">
        <f t="shared" si="0"/>
        <v>5.4</v>
      </c>
      <c r="F47" t="s">
        <v>141</v>
      </c>
      <c r="G47" s="12" t="s">
        <v>86</v>
      </c>
    </row>
    <row r="48" spans="1:7" x14ac:dyDescent="0.55000000000000004">
      <c r="A48" t="s">
        <v>109</v>
      </c>
      <c r="B48" t="s">
        <v>125</v>
      </c>
      <c r="C48">
        <v>6</v>
      </c>
      <c r="D48" s="14">
        <v>0.05</v>
      </c>
      <c r="E48" s="14">
        <f t="shared" si="0"/>
        <v>0.30000000000000004</v>
      </c>
      <c r="F48" t="s">
        <v>142</v>
      </c>
      <c r="G48" s="12" t="s">
        <v>54</v>
      </c>
    </row>
    <row r="49" spans="1:7" x14ac:dyDescent="0.55000000000000004">
      <c r="A49" t="s">
        <v>110</v>
      </c>
      <c r="B49" t="s">
        <v>46</v>
      </c>
      <c r="C49">
        <v>1</v>
      </c>
      <c r="D49" s="14">
        <v>4.08</v>
      </c>
      <c r="E49" s="14">
        <f t="shared" si="0"/>
        <v>4.08</v>
      </c>
      <c r="F49" t="s">
        <v>46</v>
      </c>
      <c r="G49" s="12" t="s">
        <v>86</v>
      </c>
    </row>
    <row r="50" spans="1:7" x14ac:dyDescent="0.55000000000000004">
      <c r="A50" t="s">
        <v>111</v>
      </c>
      <c r="B50" t="s">
        <v>126</v>
      </c>
      <c r="C50">
        <v>1</v>
      </c>
      <c r="D50" s="14">
        <v>0.09</v>
      </c>
      <c r="E50" s="14">
        <f t="shared" si="0"/>
        <v>0.09</v>
      </c>
      <c r="F50" t="s">
        <v>146</v>
      </c>
      <c r="G50" s="12" t="s">
        <v>54</v>
      </c>
    </row>
    <row r="51" spans="1:7" x14ac:dyDescent="0.55000000000000004">
      <c r="A51" t="s">
        <v>112</v>
      </c>
      <c r="B51" t="s">
        <v>127</v>
      </c>
      <c r="C51">
        <v>1</v>
      </c>
      <c r="D51" s="14">
        <v>0.08</v>
      </c>
      <c r="E51" s="14">
        <f t="shared" si="0"/>
        <v>0.08</v>
      </c>
      <c r="F51" t="s">
        <v>145</v>
      </c>
      <c r="G51" s="12" t="s">
        <v>54</v>
      </c>
    </row>
    <row r="52" spans="1:7" x14ac:dyDescent="0.55000000000000004">
      <c r="A52" t="s">
        <v>113</v>
      </c>
      <c r="B52" t="s">
        <v>128</v>
      </c>
      <c r="C52">
        <v>4</v>
      </c>
      <c r="D52" s="14">
        <v>0.25</v>
      </c>
      <c r="E52" s="14">
        <f t="shared" si="0"/>
        <v>1</v>
      </c>
      <c r="F52" t="s">
        <v>144</v>
      </c>
      <c r="G52" s="12" t="s">
        <v>54</v>
      </c>
    </row>
    <row r="53" spans="1:7" x14ac:dyDescent="0.55000000000000004">
      <c r="A53" t="s">
        <v>150</v>
      </c>
      <c r="B53" t="s">
        <v>147</v>
      </c>
      <c r="C53">
        <v>1</v>
      </c>
      <c r="D53" s="14" t="s">
        <v>149</v>
      </c>
      <c r="E53" s="14" t="s">
        <v>149</v>
      </c>
      <c r="F53" t="s">
        <v>148</v>
      </c>
      <c r="G53" s="12" t="s">
        <v>54</v>
      </c>
    </row>
    <row r="54" spans="1:7" x14ac:dyDescent="0.55000000000000004">
      <c r="A54" t="s">
        <v>155</v>
      </c>
      <c r="B54" t="s">
        <v>154</v>
      </c>
      <c r="C54">
        <v>1</v>
      </c>
      <c r="D54" s="14">
        <v>0.18</v>
      </c>
      <c r="E54" s="14">
        <f>D54*C54</f>
        <v>0.18</v>
      </c>
      <c r="F54" t="s">
        <v>156</v>
      </c>
      <c r="G54" s="12" t="s">
        <v>54</v>
      </c>
    </row>
    <row r="55" spans="1:7" x14ac:dyDescent="0.55000000000000004">
      <c r="A55" t="s">
        <v>151</v>
      </c>
      <c r="B55" t="s">
        <v>127</v>
      </c>
      <c r="C55">
        <v>1</v>
      </c>
      <c r="D55" s="14">
        <f>0.08</f>
        <v>0.08</v>
      </c>
      <c r="E55" s="14">
        <f>C55*D55</f>
        <v>0.08</v>
      </c>
      <c r="F55" t="s">
        <v>145</v>
      </c>
      <c r="G55" s="12" t="s">
        <v>54</v>
      </c>
    </row>
    <row r="56" spans="1:7" x14ac:dyDescent="0.55000000000000004">
      <c r="A56" t="s">
        <v>152</v>
      </c>
      <c r="B56" t="s">
        <v>153</v>
      </c>
      <c r="C56">
        <v>1</v>
      </c>
      <c r="D56" t="s">
        <v>46</v>
      </c>
      <c r="E56" t="s">
        <v>46</v>
      </c>
      <c r="F56" t="s">
        <v>46</v>
      </c>
      <c r="G56" s="12" t="s">
        <v>54</v>
      </c>
    </row>
  </sheetData>
  <mergeCells count="12">
    <mergeCell ref="A3:A15"/>
    <mergeCell ref="B3:B15"/>
    <mergeCell ref="C3:C15"/>
    <mergeCell ref="D3:D15"/>
    <mergeCell ref="E3:E15"/>
    <mergeCell ref="F3:F15"/>
    <mergeCell ref="A1:A2"/>
    <mergeCell ref="B1:B2"/>
    <mergeCell ref="C1:C2"/>
    <mergeCell ref="D1:D2"/>
    <mergeCell ref="F1:F2"/>
    <mergeCell ref="G1:G2"/>
  </mergeCells>
  <phoneticPr fontId="5" type="noConversion"/>
  <hyperlinks>
    <hyperlink ref="F36" r:id="rId1" xr:uid="{FB074A23-A170-4AA1-BEF8-B664F65AFC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 Shields</dc:creator>
  <cp:lastModifiedBy>Jena Shields</cp:lastModifiedBy>
  <dcterms:created xsi:type="dcterms:W3CDTF">2025-06-03T19:18:01Z</dcterms:created>
  <dcterms:modified xsi:type="dcterms:W3CDTF">2025-06-04T20:10:07Z</dcterms:modified>
</cp:coreProperties>
</file>