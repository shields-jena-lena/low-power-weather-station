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el\Documents\Github\low-power-weather-station\KiCAD_files\weather_station_lowpower\"/>
    </mc:Choice>
  </mc:AlternateContent>
  <xr:revisionPtr revIDLastSave="0" documentId="13_ncr:9_{EDB9F954-C50E-44DF-BBCB-85DB09749917}" xr6:coauthVersionLast="47" xr6:coauthVersionMax="47" xr10:uidLastSave="{00000000-0000-0000-0000-000000000000}"/>
  <bookViews>
    <workbookView xWindow="1062" yWindow="186" windowWidth="20046" windowHeight="12804" xr2:uid="{57993569-7EBE-44BC-9D0B-BFE237D2D00E}"/>
  </bookViews>
  <sheets>
    <sheet name="weather_station_lowpower_BOM" sheetId="1" r:id="rId1"/>
  </sheets>
  <calcPr calcId="0"/>
</workbook>
</file>

<file path=xl/calcChain.xml><?xml version="1.0" encoding="utf-8"?>
<calcChain xmlns="http://schemas.openxmlformats.org/spreadsheetml/2006/main">
  <c r="P42" i="1" l="1"/>
  <c r="P43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10" i="1"/>
</calcChain>
</file>

<file path=xl/sharedStrings.xml><?xml version="1.0" encoding="utf-8"?>
<sst xmlns="http://schemas.openxmlformats.org/spreadsheetml/2006/main" count="359" uniqueCount="203">
  <si>
    <t>Source:</t>
  </si>
  <si>
    <t>C:\Users\shiel\Documents\Github\low-power-weather-station\KiCAD_files\weather_station_lowpower\weather_station_lowpower.kicad_sch</t>
  </si>
  <si>
    <t>Date:</t>
  </si>
  <si>
    <t>Tool:</t>
  </si>
  <si>
    <t>Eeschema 7.0.1</t>
  </si>
  <si>
    <t>Generator:</t>
  </si>
  <si>
    <t>C:\Program Files\KiCad\7.0\bin\scripting\plugins/bom_csv_grouped_by_value.py</t>
  </si>
  <si>
    <t>Component Count:</t>
  </si>
  <si>
    <t>Collated Components:</t>
  </si>
  <si>
    <t>Item</t>
  </si>
  <si>
    <t>Qty</t>
  </si>
  <si>
    <t>Reference(s)</t>
  </si>
  <si>
    <t>Value</t>
  </si>
  <si>
    <t>LibPart</t>
  </si>
  <si>
    <t>Footprint</t>
  </si>
  <si>
    <t>Datasheet</t>
  </si>
  <si>
    <t>Sim.Device</t>
  </si>
  <si>
    <t>Sim.Pins</t>
  </si>
  <si>
    <t>Company/Manufacturer</t>
  </si>
  <si>
    <t>Part #</t>
  </si>
  <si>
    <t>Link</t>
  </si>
  <si>
    <t>Note</t>
  </si>
  <si>
    <t>Number bought</t>
  </si>
  <si>
    <t xml:space="preserve"> price  </t>
  </si>
  <si>
    <t xml:space="preserve"> Price for 1 station </t>
  </si>
  <si>
    <t>C1, C2</t>
  </si>
  <si>
    <t>22 pF</t>
  </si>
  <si>
    <t>Device:C_Small</t>
  </si>
  <si>
    <t>Capacitor_SMD:C_1206_3216Metric_Pad1.33x1.80mm_HandSolder</t>
  </si>
  <si>
    <t>https://weblib.samsungsem.com/mlcc/mlcc-ec-data-sheet.do?partNumber=CL05Y105KP6VPN</t>
  </si>
  <si>
    <t>Digikey/Samsung Electro-Mechanics</t>
  </si>
  <si>
    <t>1276-1203-1-ND</t>
  </si>
  <si>
    <t>https://www.digikey.com/en/products/detail/samsung-electro-mechanics/CL31C220JBCNNNC/3886861?s=N4IgTCBcDaIIxgOwDYC0CAMBmdqByAIiALoC%2BQA</t>
  </si>
  <si>
    <t>~</t>
  </si>
  <si>
    <t>C3</t>
  </si>
  <si>
    <t>1 uF</t>
  </si>
  <si>
    <t>Device:C_Polarized</t>
  </si>
  <si>
    <t>Capacitor_THT:CP_Radial_D5.0mm_P2.00mm</t>
  </si>
  <si>
    <t>D1</t>
  </si>
  <si>
    <t>1N4148</t>
  </si>
  <si>
    <t>Diode:1N4148</t>
  </si>
  <si>
    <t>Diode_SMD:D_SOD-123</t>
  </si>
  <si>
    <t>https://www.diodes.com/assets/Datasheets/BAV16W_1N4148W.pdf</t>
  </si>
  <si>
    <t>D</t>
  </si>
  <si>
    <t>1=K 2=A</t>
  </si>
  <si>
    <t>Digikey/Diodes Incorporated</t>
  </si>
  <si>
    <t>1N4148W-13FDICT-ND</t>
  </si>
  <si>
    <t>https://www.digikey.com/en/products/detail/diodes-incorporated/1N4148W-13-F/1933928?s=N4IgTCBcDaIIwDkAsckA4DqBaOBmAYgCICSAwgCpYKEgC6AvkA</t>
  </si>
  <si>
    <t>D2</t>
  </si>
  <si>
    <t>1N4007</t>
  </si>
  <si>
    <t>Device:D</t>
  </si>
  <si>
    <t>Diode_SMD:D_SOD-123F</t>
  </si>
  <si>
    <t>https://www.smc-diodes.com/propdf/1N4001FL-1N4007FL%20N1646%20REV.C.pdf?557</t>
  </si>
  <si>
    <t>Digikey/SMC Diode Solutions</t>
  </si>
  <si>
    <t>1655-1N4007FLCT-ND</t>
  </si>
  <si>
    <t>https://www.digikey.com/en/products/detail/smc-diode-solutions/1N4007FL/11657817?s=N4IgTCBcDaIIwDYCsSC0cByAWADDg7AGIAyAwgCqoYAiIAugL5A</t>
  </si>
  <si>
    <t>J1</t>
  </si>
  <si>
    <t xml:space="preserve">Power input </t>
  </si>
  <si>
    <t>Connector:Screw_Terminal_01x02</t>
  </si>
  <si>
    <t>digikey-footprints:Term_Block_1x2_P5.08MM</t>
  </si>
  <si>
    <t>J2</t>
  </si>
  <si>
    <t>Ground input</t>
  </si>
  <si>
    <t>:Screw_Terminal_01x02_1</t>
  </si>
  <si>
    <t>J3</t>
  </si>
  <si>
    <t>RXD</t>
  </si>
  <si>
    <t>Connector:Conn_01x01_Pin</t>
  </si>
  <si>
    <t>Connector_Pin:Pin_D1.0mm_L10.0mm</t>
  </si>
  <si>
    <t>J4</t>
  </si>
  <si>
    <t>TXD</t>
  </si>
  <si>
    <t>J5</t>
  </si>
  <si>
    <t>Pin_4</t>
  </si>
  <si>
    <t>J6</t>
  </si>
  <si>
    <t>Pin_5</t>
  </si>
  <si>
    <t>J7</t>
  </si>
  <si>
    <t>Pin_6</t>
  </si>
  <si>
    <t>J8</t>
  </si>
  <si>
    <t>6P4C</t>
  </si>
  <si>
    <t>Connector:6P4C</t>
  </si>
  <si>
    <t>custom_parts:RJ11_connector_jack</t>
  </si>
  <si>
    <t>J9</t>
  </si>
  <si>
    <t>A3</t>
  </si>
  <si>
    <t>J10</t>
  </si>
  <si>
    <t>A2</t>
  </si>
  <si>
    <t>J11</t>
  </si>
  <si>
    <t>A1</t>
  </si>
  <si>
    <t>J12</t>
  </si>
  <si>
    <t>Pin_9</t>
  </si>
  <si>
    <t>J13</t>
  </si>
  <si>
    <t>microsd_CD</t>
  </si>
  <si>
    <t>J14</t>
  </si>
  <si>
    <t>RTC</t>
  </si>
  <si>
    <t>Connector:Conn_01x08_Socket</t>
  </si>
  <si>
    <t>custom_parts:PinSocket_1x08_P2.54mm_Vertical_RTC</t>
  </si>
  <si>
    <t>J15</t>
  </si>
  <si>
    <t>RTC_32K</t>
  </si>
  <si>
    <t>J16</t>
  </si>
  <si>
    <t>RTC_RST</t>
  </si>
  <si>
    <t>J17</t>
  </si>
  <si>
    <t>Micro_SD_Card_Adafruit</t>
  </si>
  <si>
    <t>Connector:Micro_SD_Card</t>
  </si>
  <si>
    <t>custom_parts:adafruit_microSD_breakout_board_8-pin</t>
  </si>
  <si>
    <t>On/Off1</t>
  </si>
  <si>
    <t>SW_SPST</t>
  </si>
  <si>
    <t>Switch:SW_SPST</t>
  </si>
  <si>
    <t>custom_parts:Switch_Slide_SPST_DS04-254-2-01BK-SMT</t>
  </si>
  <si>
    <t>Q1</t>
  </si>
  <si>
    <t>2N7002</t>
  </si>
  <si>
    <t>Transistor_FET:2N7002</t>
  </si>
  <si>
    <t>Package_TO_SOT_SMD:SOT-23-3</t>
  </si>
  <si>
    <t>R1</t>
  </si>
  <si>
    <t>led</t>
  </si>
  <si>
    <t>SMLD12BN1WT86:SMLD12BN1WT86</t>
  </si>
  <si>
    <t>led_footprints:LED_SMLD12_ROM</t>
  </si>
  <si>
    <t>R2</t>
  </si>
  <si>
    <t>Device:R</t>
  </si>
  <si>
    <t>Resistor_SMD:R_1206_3216Metric_Pad1.30x1.75mm_HandSolder</t>
  </si>
  <si>
    <t>https://www.koaspeer.com/pdfs/RK73H.pdf</t>
  </si>
  <si>
    <t>Digikey/KOA Speer Electronics, Inc.</t>
  </si>
  <si>
    <t>2019-RK73H2BTTD1000FCT-ND</t>
  </si>
  <si>
    <t>https://www.digikey.com/en/products/detail/koa-speer-electronics-inc/RK73H2BTTD1000F/10235871?s=N4IgTCBcDa4AwEYCcBaASgaQOwGYASYAQgCrEAiCcVAYgMLEoByZIAugL5A</t>
  </si>
  <si>
    <t>R3</t>
  </si>
  <si>
    <t>20 K</t>
  </si>
  <si>
    <t>https://www.yageo.com/upload/media/product/products/datasheet/rchip/PYu-RC_Group_51_RoHS_L_12.pdf</t>
  </si>
  <si>
    <t>Digikey/YAGEO</t>
  </si>
  <si>
    <t>311-20.0KFRCT-ND</t>
  </si>
  <si>
    <t>https://www.digikey.com/en/products/detail/yageo/RC1206FR-0720KL/728672?s=N4IgTCBcDaIMwEYEFowAYB0aDSAxASgMIAqyAcgCIgC6AvkA</t>
  </si>
  <si>
    <t>R4, R5, R7, R8</t>
  </si>
  <si>
    <t>10 K</t>
  </si>
  <si>
    <t>311-10.0KFRCT-ND</t>
  </si>
  <si>
    <t>https://www.digikey.com/en/products/detail/yageo/RC1206FR-0710KL/728483?s=N4IgTCBcDaIMwEYEFoEAYB0aDSAxASgMIAqyAcgCIgC6AvkA</t>
  </si>
  <si>
    <t>R6</t>
  </si>
  <si>
    <t>https://www.te.com/usa-en/product-2-2176343-1.datasheet.pdf</t>
  </si>
  <si>
    <t>Digikey/TE Connectivity Passive Product</t>
  </si>
  <si>
    <t>A129806CT-ND</t>
  </si>
  <si>
    <t>https://www.digikey.com/en/products/detail/te-connectivity-passive-product/CRGCQ1206F470R/8576408?s=N4IgTCBcDaIIIEYwE4AcAGAbAYQCoFoA5AERAF0BfIA</t>
  </si>
  <si>
    <t>R9</t>
  </si>
  <si>
    <t>4.7 K</t>
  </si>
  <si>
    <t>311-4.70KFRCT-ND</t>
  </si>
  <si>
    <t>https://www.digikey.com/en/products/detail/yageo/RC1206FR-074K7L/728887?s=N4IgTCBcDaIMwEYEFoAsA6A7ABgNIDEAlAYQBVkA5AERAF0BfIA</t>
  </si>
  <si>
    <t>SW1</t>
  </si>
  <si>
    <t>led_push</t>
  </si>
  <si>
    <t>PTS636_SM50J_SMTR_LFS:PTS636_SM50J_SMTR_LFS</t>
  </si>
  <si>
    <t>switch_footprints:SW_PTS636_CNK</t>
  </si>
  <si>
    <t>https://www.ckswitches.com/media/2779/pts636.pdf</t>
  </si>
  <si>
    <t>Digikey/C&amp;K</t>
  </si>
  <si>
    <t>CKN12319-1-ND</t>
  </si>
  <si>
    <t>https://www.digikey.com/en/products/detail/c-k/PTS636SM50JSMTR-LFS/10071732?s=N4IgTCBcDaIMIGkByBGMBmFBOAtCnSAIiALoC%2BQA</t>
  </si>
  <si>
    <t>SW2</t>
  </si>
  <si>
    <t>reset_push</t>
  </si>
  <si>
    <t>U1</t>
  </si>
  <si>
    <t>BS250FTA</t>
  </si>
  <si>
    <t>BS250FTA:BS250FTA</t>
  </si>
  <si>
    <t>BS250FTA_footprints:SOT-23_DIO</t>
  </si>
  <si>
    <t>U_ATMega1</t>
  </si>
  <si>
    <t>ATMega:ATMega328</t>
  </si>
  <si>
    <t>digikey-footprints:Socket_DIP-28_7.62mm_Conn</t>
  </si>
  <si>
    <t>Y1</t>
  </si>
  <si>
    <t>Crystal 16 MHz</t>
  </si>
  <si>
    <t>Device:Crystal_Small</t>
  </si>
  <si>
    <t>Crystal:Crystal_HC18-U_Vertical</t>
  </si>
  <si>
    <t>ED2609-ND</t>
  </si>
  <si>
    <t>Digikey/On Shore Technology Inc.</t>
  </si>
  <si>
    <t>https://www.digikey.com/en/products/detail/on-shore-technology-inc/OSTTC022162/614558?s=N4IgTCBcDaIKIBEwDYAMBOAtAOQSAugL5A</t>
  </si>
  <si>
    <t>http://www.on-shore.com/wp-content/uploads/OSTTCXX2162.pdf</t>
  </si>
  <si>
    <t>2057-ICS-328-T-ND</t>
  </si>
  <si>
    <t>Digikey/Adam Tech</t>
  </si>
  <si>
    <t>https://www.digikey.com/en/products/detail/adam-tech/ICS-328-T/9832859?s=N4IgTCBcDa4AwFYDsBaAkgYQMooMxgA4UAVFAOQBEQBdAXyA</t>
  </si>
  <si>
    <t>Socket for MCU</t>
  </si>
  <si>
    <t>https://app.adam-tech.com/products/download/data_sheet/199582/ics-3xx-t-data-sheet.pdf</t>
  </si>
  <si>
    <t>5399-2N7002CT-ND</t>
  </si>
  <si>
    <t>Digikey/Shenzhen Slkormicro Semicon Co., Ltd.</t>
  </si>
  <si>
    <t>https://www.digikey.com/en/products/detail/shenzhen-slkormicro-semicon-co-ltd/2N7002/21853067?s=N4IgTCBcDaIKwGYCcSC0YByB2ADDsAwgCqoYAiIAugL5A</t>
  </si>
  <si>
    <t>https://mm.digikey.com/Volume0/opasdata/d220001/medias/docus/6778/5399_2N7002%20SOT-23.PDF</t>
  </si>
  <si>
    <t>SMLD12BN1WT86CT-ND</t>
  </si>
  <si>
    <t>Digikey/Rohm Semiconductor</t>
  </si>
  <si>
    <t>https://www.digikey.com/en/products/detail/rohm-semiconductor/SMLD12BN1WT86/9826162?s=N4IgTCBcDaIMoFkAyARAjGAQgOTQdQBUAOANgGECBabFEAXQF8g</t>
  </si>
  <si>
    <t>https://www.rohm.com/datasheet?p=SMLD12BN1W&amp;dist=Digi-key&amp;media=referral&amp;source=digi-key.com&amp;campaign=Digi-key</t>
  </si>
  <si>
    <t>BS250FCT-ND</t>
  </si>
  <si>
    <t>https://www.digikey.com/en/products/detail/diodes-incorporated/BS250FTA/58819?s=N4IgTCBcDaIEIGUwFYAMAxAwgFQLQDkAREAXQF8g</t>
  </si>
  <si>
    <t>https://www.diodes.com/assets/Datasheets/BS250F.pdf</t>
  </si>
  <si>
    <t>2223-DS04-254-2-01BK-SMT-ND</t>
  </si>
  <si>
    <t>Digikey/Same Sky</t>
  </si>
  <si>
    <t>https://www.digikey.com/en/products/detail/same-sky-formerly-cui-devices/DS04-254-2-01BK-SMT/11310848?s=N4IgTCBcDa5mBmAtAEQMoAYAsSwFYcwkMBGAIQGkk0BZAFSQDkUQBdAXyA</t>
  </si>
  <si>
    <t>https://www.cuidevices.com/product/resource/ds04-254-smt.pdf</t>
  </si>
  <si>
    <t>732-61300811821-ND</t>
  </si>
  <si>
    <t>Digikey/Wurth Elektronik</t>
  </si>
  <si>
    <t>https://www.digikey.com/en/products/detail/w%C3%BCrth-elektronik/61300811821/17737805?s=N4IgTCBcDaIOwGYwFoBsBGBAGLAOd6uY6yAcgCIgC6AvkA</t>
  </si>
  <si>
    <t>Socket for RTC</t>
  </si>
  <si>
    <t>https://www.we-online.com/components/products/datasheet/61300811821.pdf</t>
  </si>
  <si>
    <t>https://www.jameco.com/Jameco/Products/ProdDS/29831.pdf</t>
  </si>
  <si>
    <t xml:space="preserve">Jameco/James Electronics </t>
  </si>
  <si>
    <t>https://www.jameco.com/webapp/wcs/stores/servlet/ProductDisplay?catalogId=10001&amp;langId=-1&amp;storeId=10001&amp;productId=29831</t>
  </si>
  <si>
    <t>Part of breadboard</t>
  </si>
  <si>
    <t>Amazon/uxcell</t>
  </si>
  <si>
    <t>B07Y7GFVGX</t>
  </si>
  <si>
    <t>https://www.amazon.com/dp/B005MN8FPW?ref_=pe_1815430_211938580</t>
  </si>
  <si>
    <t>Adafruit</t>
  </si>
  <si>
    <t>https://www.adafruit.com/product/254</t>
  </si>
  <si>
    <t>Same footprint but different manufacturer than I used</t>
  </si>
  <si>
    <t>https://www.digikey.com/en/products/detail/amphenol-cs-fci/87180-064LF/1001370</t>
  </si>
  <si>
    <t>609-1056-ND</t>
  </si>
  <si>
    <t>Digikey/Amphenol ICC</t>
  </si>
  <si>
    <t>https://cdn.amphenol-cs.com/media/wysiwyg/files/documentation/datasheet/inputoutput/io_modularjack.pdf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</si>
</sst>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22" fontId="0" fillId="0" borderId="0" xfId="0" applyNumberFormat="1"/>
    <xf numFmtId="8" fontId="0" fillId="0" borderId="0" xfId="0" applyNumberFormat="1"/>
    <xf numFmtId="44" fontId="0" fillId="0" borderId="0" xfId="1" applyFont="1"/>
    <xf numFmtId="0" fontId="18" fillId="0" borderId="0" xfId="43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com/en/products/detail/rohm-semiconductor/SMLD12BN1WT86/9826162?s=N4IgTCBcDaIMoFkAyARAjGAQgOTQdQBUAOANgGECBabFEAXQF8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7AFB2-3AED-4A92-8223-D8B61C596BD8}">
  <dimension ref="A1:P46"/>
  <sheetViews>
    <sheetView tabSelected="1" topLeftCell="A28" zoomScale="75" workbookViewId="0">
      <selection activeCell="N48" sqref="N48"/>
    </sheetView>
  </sheetViews>
  <sheetFormatPr defaultRowHeight="14.4" x14ac:dyDescent="0.55000000000000004"/>
  <cols>
    <col min="15" max="15" width="8.83984375" style="3"/>
  </cols>
  <sheetData>
    <row r="1" spans="1:16" x14ac:dyDescent="0.55000000000000004">
      <c r="A1" t="s">
        <v>0</v>
      </c>
      <c r="B1" t="s">
        <v>1</v>
      </c>
    </row>
    <row r="2" spans="1:16" x14ac:dyDescent="0.55000000000000004">
      <c r="A2" t="s">
        <v>2</v>
      </c>
      <c r="B2" s="1">
        <v>45805.523611111108</v>
      </c>
    </row>
    <row r="3" spans="1:16" x14ac:dyDescent="0.55000000000000004">
      <c r="A3" t="s">
        <v>3</v>
      </c>
      <c r="B3" t="s">
        <v>4</v>
      </c>
    </row>
    <row r="4" spans="1:16" x14ac:dyDescent="0.55000000000000004">
      <c r="A4" t="s">
        <v>5</v>
      </c>
      <c r="B4" t="s">
        <v>6</v>
      </c>
    </row>
    <row r="5" spans="1:16" x14ac:dyDescent="0.55000000000000004">
      <c r="A5" t="s">
        <v>7</v>
      </c>
      <c r="B5">
        <v>38</v>
      </c>
    </row>
    <row r="7" spans="1:16" x14ac:dyDescent="0.55000000000000004">
      <c r="A7" t="s">
        <v>8</v>
      </c>
    </row>
    <row r="9" spans="1:16" x14ac:dyDescent="0.55000000000000004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  <c r="K9" t="s">
        <v>19</v>
      </c>
      <c r="L9" t="s">
        <v>20</v>
      </c>
      <c r="M9" t="s">
        <v>21</v>
      </c>
      <c r="N9" t="s">
        <v>22</v>
      </c>
      <c r="O9" s="3" t="s">
        <v>23</v>
      </c>
      <c r="P9" t="s">
        <v>24</v>
      </c>
    </row>
    <row r="10" spans="1:16" x14ac:dyDescent="0.55000000000000004">
      <c r="A10">
        <v>1</v>
      </c>
      <c r="B10">
        <v>2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 t="s">
        <v>33</v>
      </c>
      <c r="I10" t="s">
        <v>33</v>
      </c>
      <c r="J10" t="s">
        <v>30</v>
      </c>
      <c r="K10" t="s">
        <v>31</v>
      </c>
      <c r="L10" t="s">
        <v>32</v>
      </c>
      <c r="M10" t="s">
        <v>33</v>
      </c>
      <c r="N10">
        <v>1</v>
      </c>
      <c r="O10" s="3">
        <v>0.12</v>
      </c>
      <c r="P10" s="2">
        <f>O10/N10*B10</f>
        <v>0.24</v>
      </c>
    </row>
    <row r="11" spans="1:16" x14ac:dyDescent="0.55000000000000004">
      <c r="A11">
        <v>2</v>
      </c>
      <c r="B11">
        <v>1</v>
      </c>
      <c r="C11" t="s">
        <v>34</v>
      </c>
      <c r="D11" t="s">
        <v>35</v>
      </c>
      <c r="E11" t="s">
        <v>36</v>
      </c>
      <c r="F11" t="s">
        <v>37</v>
      </c>
      <c r="G11" t="s">
        <v>189</v>
      </c>
      <c r="H11" t="s">
        <v>33</v>
      </c>
      <c r="I11" t="s">
        <v>33</v>
      </c>
      <c r="J11" t="s">
        <v>190</v>
      </c>
      <c r="K11">
        <v>29831</v>
      </c>
      <c r="L11" t="s">
        <v>191</v>
      </c>
      <c r="M11" t="s">
        <v>33</v>
      </c>
      <c r="N11">
        <v>1</v>
      </c>
      <c r="O11" s="3">
        <v>0.14000000000000001</v>
      </c>
      <c r="P11" s="2">
        <f t="shared" ref="P11:P43" si="0">O11/N11*B11</f>
        <v>0.14000000000000001</v>
      </c>
    </row>
    <row r="12" spans="1:16" x14ac:dyDescent="0.55000000000000004">
      <c r="A12">
        <v>3</v>
      </c>
      <c r="B12">
        <v>1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44</v>
      </c>
      <c r="J12" t="s">
        <v>45</v>
      </c>
      <c r="K12" t="s">
        <v>46</v>
      </c>
      <c r="L12" t="s">
        <v>47</v>
      </c>
      <c r="M12" t="s">
        <v>33</v>
      </c>
      <c r="N12">
        <v>1</v>
      </c>
      <c r="O12" s="3">
        <v>0.1</v>
      </c>
      <c r="P12" s="2">
        <f t="shared" si="0"/>
        <v>0.1</v>
      </c>
    </row>
    <row r="13" spans="1:16" x14ac:dyDescent="0.55000000000000004">
      <c r="A13">
        <v>4</v>
      </c>
      <c r="B13">
        <v>1</v>
      </c>
      <c r="C13" t="s">
        <v>48</v>
      </c>
      <c r="D13" t="s">
        <v>49</v>
      </c>
      <c r="E13" t="s">
        <v>50</v>
      </c>
      <c r="F13" t="s">
        <v>51</v>
      </c>
      <c r="G13" t="s">
        <v>52</v>
      </c>
      <c r="H13" t="s">
        <v>43</v>
      </c>
      <c r="I13" t="s">
        <v>44</v>
      </c>
      <c r="J13" t="s">
        <v>53</v>
      </c>
      <c r="K13" t="s">
        <v>54</v>
      </c>
      <c r="L13" t="s">
        <v>55</v>
      </c>
      <c r="M13" t="s">
        <v>33</v>
      </c>
      <c r="N13">
        <v>1</v>
      </c>
      <c r="O13" s="3">
        <v>0.13</v>
      </c>
      <c r="P13" s="2">
        <f t="shared" si="0"/>
        <v>0.13</v>
      </c>
    </row>
    <row r="14" spans="1:16" x14ac:dyDescent="0.55000000000000004">
      <c r="A14">
        <v>5</v>
      </c>
      <c r="B14">
        <v>1</v>
      </c>
      <c r="C14" t="s">
        <v>56</v>
      </c>
      <c r="D14" t="s">
        <v>57</v>
      </c>
      <c r="E14" t="s">
        <v>58</v>
      </c>
      <c r="F14" t="s">
        <v>59</v>
      </c>
      <c r="G14" t="s">
        <v>163</v>
      </c>
      <c r="H14" t="s">
        <v>33</v>
      </c>
      <c r="I14" t="s">
        <v>33</v>
      </c>
      <c r="J14" t="s">
        <v>161</v>
      </c>
      <c r="K14" t="s">
        <v>160</v>
      </c>
      <c r="L14" t="s">
        <v>162</v>
      </c>
      <c r="M14" t="s">
        <v>33</v>
      </c>
      <c r="N14">
        <v>1</v>
      </c>
      <c r="O14" s="3">
        <v>0.56999999999999995</v>
      </c>
      <c r="P14" s="2">
        <f t="shared" si="0"/>
        <v>0.56999999999999995</v>
      </c>
    </row>
    <row r="15" spans="1:16" x14ac:dyDescent="0.55000000000000004">
      <c r="A15">
        <v>6</v>
      </c>
      <c r="B15">
        <v>1</v>
      </c>
      <c r="C15" t="s">
        <v>60</v>
      </c>
      <c r="D15" t="s">
        <v>61</v>
      </c>
      <c r="E15" t="s">
        <v>62</v>
      </c>
      <c r="F15" t="s">
        <v>59</v>
      </c>
      <c r="G15" t="s">
        <v>163</v>
      </c>
      <c r="H15" t="s">
        <v>33</v>
      </c>
      <c r="I15" t="s">
        <v>33</v>
      </c>
      <c r="J15" t="s">
        <v>161</v>
      </c>
      <c r="K15" t="s">
        <v>160</v>
      </c>
      <c r="L15" t="s">
        <v>162</v>
      </c>
      <c r="M15" t="s">
        <v>33</v>
      </c>
      <c r="N15">
        <v>1</v>
      </c>
      <c r="O15" s="3">
        <v>0.56999999999999995</v>
      </c>
      <c r="P15" s="2">
        <f t="shared" si="0"/>
        <v>0.56999999999999995</v>
      </c>
    </row>
    <row r="16" spans="1:16" x14ac:dyDescent="0.55000000000000004">
      <c r="A16">
        <v>7</v>
      </c>
      <c r="B16">
        <v>1</v>
      </c>
      <c r="C16" t="s">
        <v>63</v>
      </c>
      <c r="D16" t="s">
        <v>64</v>
      </c>
      <c r="E16" t="s">
        <v>65</v>
      </c>
      <c r="F16" t="s">
        <v>66</v>
      </c>
      <c r="G16" t="s">
        <v>33</v>
      </c>
      <c r="H16" t="s">
        <v>33</v>
      </c>
      <c r="I16" t="s">
        <v>33</v>
      </c>
      <c r="M16" t="s">
        <v>192</v>
      </c>
      <c r="N16">
        <v>1</v>
      </c>
      <c r="O16" s="3">
        <v>0</v>
      </c>
      <c r="P16" s="2">
        <f t="shared" si="0"/>
        <v>0</v>
      </c>
    </row>
    <row r="17" spans="1:16" x14ac:dyDescent="0.55000000000000004">
      <c r="A17">
        <v>8</v>
      </c>
      <c r="B17">
        <v>1</v>
      </c>
      <c r="C17" t="s">
        <v>67</v>
      </c>
      <c r="D17" t="s">
        <v>68</v>
      </c>
      <c r="E17" t="s">
        <v>65</v>
      </c>
      <c r="F17" t="s">
        <v>66</v>
      </c>
      <c r="G17" t="s">
        <v>33</v>
      </c>
      <c r="H17" t="s">
        <v>33</v>
      </c>
      <c r="I17" t="s">
        <v>33</v>
      </c>
      <c r="M17" t="s">
        <v>192</v>
      </c>
      <c r="N17">
        <v>1</v>
      </c>
      <c r="O17" s="3">
        <v>0</v>
      </c>
      <c r="P17" s="2">
        <f t="shared" si="0"/>
        <v>0</v>
      </c>
    </row>
    <row r="18" spans="1:16" x14ac:dyDescent="0.55000000000000004">
      <c r="A18">
        <v>9</v>
      </c>
      <c r="B18">
        <v>1</v>
      </c>
      <c r="C18" t="s">
        <v>69</v>
      </c>
      <c r="D18" t="s">
        <v>70</v>
      </c>
      <c r="E18" t="s">
        <v>65</v>
      </c>
      <c r="F18" t="s">
        <v>66</v>
      </c>
      <c r="G18" t="s">
        <v>33</v>
      </c>
      <c r="H18" t="s">
        <v>33</v>
      </c>
      <c r="I18" t="s">
        <v>33</v>
      </c>
      <c r="M18" t="s">
        <v>192</v>
      </c>
      <c r="N18">
        <v>1</v>
      </c>
      <c r="O18" s="3">
        <v>0</v>
      </c>
      <c r="P18" s="2">
        <f t="shared" si="0"/>
        <v>0</v>
      </c>
    </row>
    <row r="19" spans="1:16" x14ac:dyDescent="0.55000000000000004">
      <c r="A19">
        <v>10</v>
      </c>
      <c r="B19">
        <v>1</v>
      </c>
      <c r="C19" t="s">
        <v>71</v>
      </c>
      <c r="D19" t="s">
        <v>72</v>
      </c>
      <c r="E19" t="s">
        <v>65</v>
      </c>
      <c r="F19" t="s">
        <v>66</v>
      </c>
      <c r="G19" t="s">
        <v>33</v>
      </c>
      <c r="H19" t="s">
        <v>33</v>
      </c>
      <c r="I19" t="s">
        <v>33</v>
      </c>
      <c r="M19" t="s">
        <v>192</v>
      </c>
      <c r="N19">
        <v>1</v>
      </c>
      <c r="O19" s="3">
        <v>0</v>
      </c>
      <c r="P19" s="2">
        <f t="shared" si="0"/>
        <v>0</v>
      </c>
    </row>
    <row r="20" spans="1:16" x14ac:dyDescent="0.55000000000000004">
      <c r="A20">
        <v>11</v>
      </c>
      <c r="B20">
        <v>1</v>
      </c>
      <c r="C20" t="s">
        <v>73</v>
      </c>
      <c r="D20" t="s">
        <v>74</v>
      </c>
      <c r="E20" t="s">
        <v>65</v>
      </c>
      <c r="F20" t="s">
        <v>66</v>
      </c>
      <c r="G20" t="s">
        <v>33</v>
      </c>
      <c r="H20" t="s">
        <v>33</v>
      </c>
      <c r="I20" t="s">
        <v>33</v>
      </c>
      <c r="M20" t="s">
        <v>192</v>
      </c>
      <c r="N20">
        <v>1</v>
      </c>
      <c r="O20" s="3">
        <v>0</v>
      </c>
      <c r="P20" s="2">
        <f t="shared" si="0"/>
        <v>0</v>
      </c>
    </row>
    <row r="21" spans="1:16" x14ac:dyDescent="0.55000000000000004">
      <c r="A21">
        <v>12</v>
      </c>
      <c r="B21">
        <v>1</v>
      </c>
      <c r="C21" t="s">
        <v>75</v>
      </c>
      <c r="D21" t="s">
        <v>76</v>
      </c>
      <c r="E21" t="s">
        <v>77</v>
      </c>
      <c r="F21" t="s">
        <v>78</v>
      </c>
      <c r="G21" t="s">
        <v>202</v>
      </c>
      <c r="H21" t="s">
        <v>33</v>
      </c>
      <c r="I21" t="s">
        <v>33</v>
      </c>
      <c r="J21" t="s">
        <v>201</v>
      </c>
      <c r="K21" t="s">
        <v>200</v>
      </c>
      <c r="L21" t="s">
        <v>199</v>
      </c>
      <c r="M21" t="s">
        <v>198</v>
      </c>
      <c r="N21">
        <v>1</v>
      </c>
      <c r="O21" s="3">
        <v>1.63</v>
      </c>
      <c r="P21" s="2">
        <f t="shared" si="0"/>
        <v>1.63</v>
      </c>
    </row>
    <row r="22" spans="1:16" x14ac:dyDescent="0.55000000000000004">
      <c r="A22">
        <v>13</v>
      </c>
      <c r="B22">
        <v>1</v>
      </c>
      <c r="C22" t="s">
        <v>79</v>
      </c>
      <c r="D22" t="s">
        <v>80</v>
      </c>
      <c r="E22" t="s">
        <v>65</v>
      </c>
      <c r="F22" t="s">
        <v>66</v>
      </c>
      <c r="G22" t="s">
        <v>33</v>
      </c>
      <c r="H22" t="s">
        <v>33</v>
      </c>
      <c r="I22" t="s">
        <v>33</v>
      </c>
      <c r="M22" t="s">
        <v>192</v>
      </c>
      <c r="N22">
        <v>1</v>
      </c>
      <c r="O22" s="3">
        <v>0</v>
      </c>
      <c r="P22" s="2">
        <f t="shared" si="0"/>
        <v>0</v>
      </c>
    </row>
    <row r="23" spans="1:16" x14ac:dyDescent="0.55000000000000004">
      <c r="A23">
        <v>14</v>
      </c>
      <c r="B23">
        <v>1</v>
      </c>
      <c r="C23" t="s">
        <v>81</v>
      </c>
      <c r="D23" t="s">
        <v>82</v>
      </c>
      <c r="E23" t="s">
        <v>65</v>
      </c>
      <c r="F23" t="s">
        <v>66</v>
      </c>
      <c r="G23" t="s">
        <v>33</v>
      </c>
      <c r="H23" t="s">
        <v>33</v>
      </c>
      <c r="I23" t="s">
        <v>33</v>
      </c>
      <c r="M23" t="s">
        <v>192</v>
      </c>
      <c r="N23">
        <v>1</v>
      </c>
      <c r="O23" s="3">
        <v>0</v>
      </c>
      <c r="P23" s="2">
        <f t="shared" si="0"/>
        <v>0</v>
      </c>
    </row>
    <row r="24" spans="1:16" x14ac:dyDescent="0.55000000000000004">
      <c r="A24">
        <v>15</v>
      </c>
      <c r="B24">
        <v>1</v>
      </c>
      <c r="C24" t="s">
        <v>83</v>
      </c>
      <c r="D24" t="s">
        <v>84</v>
      </c>
      <c r="E24" t="s">
        <v>65</v>
      </c>
      <c r="F24" t="s">
        <v>66</v>
      </c>
      <c r="G24" t="s">
        <v>33</v>
      </c>
      <c r="H24" t="s">
        <v>33</v>
      </c>
      <c r="I24" t="s">
        <v>33</v>
      </c>
      <c r="M24" t="s">
        <v>192</v>
      </c>
      <c r="N24">
        <v>1</v>
      </c>
      <c r="O24" s="3">
        <v>0</v>
      </c>
      <c r="P24" s="2">
        <f t="shared" si="0"/>
        <v>0</v>
      </c>
    </row>
    <row r="25" spans="1:16" x14ac:dyDescent="0.55000000000000004">
      <c r="A25">
        <v>16</v>
      </c>
      <c r="B25">
        <v>1</v>
      </c>
      <c r="C25" t="s">
        <v>85</v>
      </c>
      <c r="D25" t="s">
        <v>86</v>
      </c>
      <c r="E25" t="s">
        <v>65</v>
      </c>
      <c r="F25" t="s">
        <v>66</v>
      </c>
      <c r="G25" t="s">
        <v>33</v>
      </c>
      <c r="H25" t="s">
        <v>33</v>
      </c>
      <c r="I25" t="s">
        <v>33</v>
      </c>
      <c r="M25" t="s">
        <v>192</v>
      </c>
      <c r="N25">
        <v>1</v>
      </c>
      <c r="O25" s="3">
        <v>0</v>
      </c>
      <c r="P25" s="2">
        <f t="shared" si="0"/>
        <v>0</v>
      </c>
    </row>
    <row r="26" spans="1:16" x14ac:dyDescent="0.55000000000000004">
      <c r="A26">
        <v>17</v>
      </c>
      <c r="B26">
        <v>1</v>
      </c>
      <c r="C26" t="s">
        <v>87</v>
      </c>
      <c r="D26" t="s">
        <v>88</v>
      </c>
      <c r="E26" t="s">
        <v>65</v>
      </c>
      <c r="F26" t="s">
        <v>66</v>
      </c>
      <c r="G26" t="s">
        <v>33</v>
      </c>
      <c r="H26" t="s">
        <v>33</v>
      </c>
      <c r="I26" t="s">
        <v>33</v>
      </c>
      <c r="M26" t="s">
        <v>192</v>
      </c>
      <c r="N26">
        <v>1</v>
      </c>
      <c r="O26" s="3">
        <v>0</v>
      </c>
      <c r="P26" s="2">
        <f t="shared" si="0"/>
        <v>0</v>
      </c>
    </row>
    <row r="27" spans="1:16" x14ac:dyDescent="0.55000000000000004">
      <c r="A27">
        <v>18</v>
      </c>
      <c r="B27">
        <v>1</v>
      </c>
      <c r="C27" t="s">
        <v>89</v>
      </c>
      <c r="D27" t="s">
        <v>90</v>
      </c>
      <c r="E27" t="s">
        <v>91</v>
      </c>
      <c r="F27" t="s">
        <v>92</v>
      </c>
      <c r="G27" t="s">
        <v>188</v>
      </c>
      <c r="H27" t="s">
        <v>33</v>
      </c>
      <c r="I27" t="s">
        <v>33</v>
      </c>
      <c r="J27" t="s">
        <v>185</v>
      </c>
      <c r="K27" t="s">
        <v>184</v>
      </c>
      <c r="L27" t="s">
        <v>186</v>
      </c>
      <c r="M27" t="s">
        <v>187</v>
      </c>
      <c r="N27">
        <v>1</v>
      </c>
      <c r="O27" s="3">
        <v>0.38</v>
      </c>
      <c r="P27" s="2">
        <f t="shared" si="0"/>
        <v>0.38</v>
      </c>
    </row>
    <row r="28" spans="1:16" x14ac:dyDescent="0.55000000000000004">
      <c r="A28">
        <v>19</v>
      </c>
      <c r="B28">
        <v>1</v>
      </c>
      <c r="C28" t="s">
        <v>93</v>
      </c>
      <c r="D28" t="s">
        <v>94</v>
      </c>
      <c r="E28" t="s">
        <v>65</v>
      </c>
      <c r="F28" t="s">
        <v>66</v>
      </c>
      <c r="G28" t="s">
        <v>33</v>
      </c>
      <c r="H28" t="s">
        <v>33</v>
      </c>
      <c r="I28" t="s">
        <v>33</v>
      </c>
      <c r="M28" t="s">
        <v>192</v>
      </c>
      <c r="N28">
        <v>1</v>
      </c>
      <c r="O28" s="3">
        <v>0</v>
      </c>
      <c r="P28" s="2">
        <f t="shared" si="0"/>
        <v>0</v>
      </c>
    </row>
    <row r="29" spans="1:16" x14ac:dyDescent="0.55000000000000004">
      <c r="A29">
        <v>20</v>
      </c>
      <c r="B29">
        <v>1</v>
      </c>
      <c r="C29" t="s">
        <v>95</v>
      </c>
      <c r="D29" t="s">
        <v>96</v>
      </c>
      <c r="E29" t="s">
        <v>65</v>
      </c>
      <c r="F29" t="s">
        <v>66</v>
      </c>
      <c r="G29" t="s">
        <v>33</v>
      </c>
      <c r="H29" t="s">
        <v>33</v>
      </c>
      <c r="I29" t="s">
        <v>33</v>
      </c>
      <c r="M29" t="s">
        <v>192</v>
      </c>
      <c r="N29">
        <v>1</v>
      </c>
      <c r="O29" s="3">
        <v>0</v>
      </c>
      <c r="P29" s="2">
        <f t="shared" si="0"/>
        <v>0</v>
      </c>
    </row>
    <row r="30" spans="1:16" x14ac:dyDescent="0.55000000000000004">
      <c r="A30">
        <v>21</v>
      </c>
      <c r="B30">
        <v>1</v>
      </c>
      <c r="C30" t="s">
        <v>97</v>
      </c>
      <c r="D30" t="s">
        <v>98</v>
      </c>
      <c r="E30" t="s">
        <v>99</v>
      </c>
      <c r="F30" t="s">
        <v>100</v>
      </c>
      <c r="G30" t="s">
        <v>33</v>
      </c>
      <c r="H30" t="s">
        <v>33</v>
      </c>
      <c r="I30" t="s">
        <v>33</v>
      </c>
      <c r="J30" t="s">
        <v>196</v>
      </c>
      <c r="K30">
        <v>254</v>
      </c>
      <c r="L30" t="s">
        <v>197</v>
      </c>
      <c r="M30" t="s">
        <v>33</v>
      </c>
      <c r="N30">
        <v>1</v>
      </c>
      <c r="O30" s="3">
        <v>7.5</v>
      </c>
      <c r="P30" s="2">
        <f t="shared" si="0"/>
        <v>7.5</v>
      </c>
    </row>
    <row r="31" spans="1:16" x14ac:dyDescent="0.55000000000000004">
      <c r="A31">
        <v>23</v>
      </c>
      <c r="B31">
        <v>1</v>
      </c>
      <c r="C31" t="s">
        <v>101</v>
      </c>
      <c r="D31" t="s">
        <v>102</v>
      </c>
      <c r="E31" t="s">
        <v>103</v>
      </c>
      <c r="F31" t="s">
        <v>104</v>
      </c>
      <c r="G31" t="s">
        <v>183</v>
      </c>
      <c r="H31" t="s">
        <v>33</v>
      </c>
      <c r="I31" t="s">
        <v>33</v>
      </c>
      <c r="J31" t="s">
        <v>181</v>
      </c>
      <c r="K31" t="s">
        <v>180</v>
      </c>
      <c r="L31" t="s">
        <v>182</v>
      </c>
      <c r="M31" t="s">
        <v>33</v>
      </c>
      <c r="N31">
        <v>1</v>
      </c>
      <c r="O31" s="3">
        <v>0.71</v>
      </c>
      <c r="P31" s="2">
        <f t="shared" si="0"/>
        <v>0.71</v>
      </c>
    </row>
    <row r="32" spans="1:16" x14ac:dyDescent="0.55000000000000004">
      <c r="A32">
        <v>24</v>
      </c>
      <c r="B32">
        <v>1</v>
      </c>
      <c r="C32" t="s">
        <v>105</v>
      </c>
      <c r="D32" t="s">
        <v>106</v>
      </c>
      <c r="E32" t="s">
        <v>107</v>
      </c>
      <c r="F32" t="s">
        <v>108</v>
      </c>
      <c r="G32" t="s">
        <v>172</v>
      </c>
      <c r="H32" t="s">
        <v>33</v>
      </c>
      <c r="I32" t="s">
        <v>33</v>
      </c>
      <c r="J32" t="s">
        <v>170</v>
      </c>
      <c r="K32" t="s">
        <v>169</v>
      </c>
      <c r="L32" t="s">
        <v>171</v>
      </c>
      <c r="M32" t="s">
        <v>33</v>
      </c>
      <c r="N32">
        <v>1</v>
      </c>
      <c r="O32" s="3">
        <v>0.1</v>
      </c>
      <c r="P32" s="2">
        <f t="shared" si="0"/>
        <v>0.1</v>
      </c>
    </row>
    <row r="33" spans="1:16" x14ac:dyDescent="0.55000000000000004">
      <c r="A33">
        <v>25</v>
      </c>
      <c r="B33">
        <v>1</v>
      </c>
      <c r="C33" t="s">
        <v>109</v>
      </c>
      <c r="D33" t="s">
        <v>110</v>
      </c>
      <c r="E33" t="s">
        <v>111</v>
      </c>
      <c r="F33" t="s">
        <v>112</v>
      </c>
      <c r="G33" t="s">
        <v>176</v>
      </c>
      <c r="H33" t="s">
        <v>33</v>
      </c>
      <c r="I33" t="s">
        <v>33</v>
      </c>
      <c r="J33" t="s">
        <v>174</v>
      </c>
      <c r="K33" t="s">
        <v>173</v>
      </c>
      <c r="L33" s="4" t="s">
        <v>175</v>
      </c>
      <c r="M33" t="s">
        <v>33</v>
      </c>
      <c r="N33">
        <v>1</v>
      </c>
      <c r="O33" s="3">
        <v>0.31</v>
      </c>
      <c r="P33" s="2">
        <f t="shared" si="0"/>
        <v>0.31</v>
      </c>
    </row>
    <row r="34" spans="1:16" x14ac:dyDescent="0.55000000000000004">
      <c r="A34">
        <v>26</v>
      </c>
      <c r="B34">
        <v>1</v>
      </c>
      <c r="C34" t="s">
        <v>113</v>
      </c>
      <c r="D34">
        <v>100</v>
      </c>
      <c r="E34" t="s">
        <v>114</v>
      </c>
      <c r="F34" t="s">
        <v>115</v>
      </c>
      <c r="G34" t="s">
        <v>116</v>
      </c>
      <c r="H34" t="s">
        <v>33</v>
      </c>
      <c r="I34" t="s">
        <v>33</v>
      </c>
      <c r="J34" t="s">
        <v>117</v>
      </c>
      <c r="K34" t="s">
        <v>118</v>
      </c>
      <c r="L34" t="s">
        <v>119</v>
      </c>
      <c r="M34" t="s">
        <v>33</v>
      </c>
      <c r="N34">
        <v>1</v>
      </c>
      <c r="O34" s="3">
        <v>0.1</v>
      </c>
      <c r="P34" s="2">
        <f t="shared" si="0"/>
        <v>0.1</v>
      </c>
    </row>
    <row r="35" spans="1:16" x14ac:dyDescent="0.55000000000000004">
      <c r="A35">
        <v>27</v>
      </c>
      <c r="B35">
        <v>1</v>
      </c>
      <c r="C35" t="s">
        <v>120</v>
      </c>
      <c r="D35" t="s">
        <v>121</v>
      </c>
      <c r="E35" t="s">
        <v>114</v>
      </c>
      <c r="F35" t="s">
        <v>115</v>
      </c>
      <c r="G35" t="s">
        <v>122</v>
      </c>
      <c r="H35" t="s">
        <v>33</v>
      </c>
      <c r="I35" t="s">
        <v>33</v>
      </c>
      <c r="J35" t="s">
        <v>123</v>
      </c>
      <c r="K35" t="s">
        <v>124</v>
      </c>
      <c r="L35" t="s">
        <v>125</v>
      </c>
      <c r="M35" t="s">
        <v>33</v>
      </c>
      <c r="N35">
        <v>1</v>
      </c>
      <c r="O35" s="3">
        <v>0.1</v>
      </c>
      <c r="P35" s="2">
        <f t="shared" si="0"/>
        <v>0.1</v>
      </c>
    </row>
    <row r="36" spans="1:16" x14ac:dyDescent="0.55000000000000004">
      <c r="A36">
        <v>28</v>
      </c>
      <c r="B36">
        <v>4</v>
      </c>
      <c r="C36" t="s">
        <v>126</v>
      </c>
      <c r="D36" t="s">
        <v>127</v>
      </c>
      <c r="E36" t="s">
        <v>114</v>
      </c>
      <c r="F36" t="s">
        <v>115</v>
      </c>
      <c r="G36" t="s">
        <v>122</v>
      </c>
      <c r="H36" t="s">
        <v>33</v>
      </c>
      <c r="I36" t="s">
        <v>33</v>
      </c>
      <c r="J36" t="s">
        <v>123</v>
      </c>
      <c r="K36" t="s">
        <v>128</v>
      </c>
      <c r="L36" t="s">
        <v>129</v>
      </c>
      <c r="M36" t="s">
        <v>33</v>
      </c>
      <c r="N36">
        <v>1</v>
      </c>
      <c r="O36" s="3">
        <v>0.1</v>
      </c>
      <c r="P36" s="2">
        <f t="shared" si="0"/>
        <v>0.4</v>
      </c>
    </row>
    <row r="37" spans="1:16" x14ac:dyDescent="0.55000000000000004">
      <c r="A37">
        <v>29</v>
      </c>
      <c r="B37">
        <v>1</v>
      </c>
      <c r="C37" t="s">
        <v>130</v>
      </c>
      <c r="D37">
        <v>470</v>
      </c>
      <c r="E37" t="s">
        <v>114</v>
      </c>
      <c r="F37" t="s">
        <v>115</v>
      </c>
      <c r="G37" t="s">
        <v>131</v>
      </c>
      <c r="H37" t="s">
        <v>33</v>
      </c>
      <c r="I37" t="s">
        <v>33</v>
      </c>
      <c r="J37" t="s">
        <v>132</v>
      </c>
      <c r="K37" t="s">
        <v>133</v>
      </c>
      <c r="L37" t="s">
        <v>134</v>
      </c>
      <c r="M37" t="s">
        <v>33</v>
      </c>
      <c r="N37">
        <v>1</v>
      </c>
      <c r="O37" s="3">
        <v>0.1</v>
      </c>
      <c r="P37" s="2">
        <f t="shared" si="0"/>
        <v>0.1</v>
      </c>
    </row>
    <row r="38" spans="1:16" x14ac:dyDescent="0.55000000000000004">
      <c r="A38">
        <v>30</v>
      </c>
      <c r="B38">
        <v>1</v>
      </c>
      <c r="C38" t="s">
        <v>135</v>
      </c>
      <c r="D38" t="s">
        <v>136</v>
      </c>
      <c r="E38" t="s">
        <v>114</v>
      </c>
      <c r="F38" t="s">
        <v>115</v>
      </c>
      <c r="G38" t="s">
        <v>122</v>
      </c>
      <c r="H38" t="s">
        <v>33</v>
      </c>
      <c r="I38" t="s">
        <v>33</v>
      </c>
      <c r="J38" t="s">
        <v>123</v>
      </c>
      <c r="K38" t="s">
        <v>137</v>
      </c>
      <c r="L38" t="s">
        <v>138</v>
      </c>
      <c r="M38" t="s">
        <v>33</v>
      </c>
      <c r="N38">
        <v>1</v>
      </c>
      <c r="O38" s="3">
        <v>0.1</v>
      </c>
      <c r="P38" s="2">
        <f t="shared" si="0"/>
        <v>0.1</v>
      </c>
    </row>
    <row r="39" spans="1:16" x14ac:dyDescent="0.55000000000000004">
      <c r="A39">
        <v>31</v>
      </c>
      <c r="B39">
        <v>1</v>
      </c>
      <c r="C39" t="s">
        <v>139</v>
      </c>
      <c r="D39" t="s">
        <v>140</v>
      </c>
      <c r="E39" t="s">
        <v>141</v>
      </c>
      <c r="F39" t="s">
        <v>142</v>
      </c>
      <c r="G39" t="s">
        <v>143</v>
      </c>
      <c r="H39" t="s">
        <v>33</v>
      </c>
      <c r="I39" t="s">
        <v>33</v>
      </c>
      <c r="J39" t="s">
        <v>144</v>
      </c>
      <c r="K39" t="s">
        <v>145</v>
      </c>
      <c r="L39" t="s">
        <v>146</v>
      </c>
      <c r="M39" t="s">
        <v>33</v>
      </c>
      <c r="N39">
        <v>1</v>
      </c>
      <c r="O39" s="3">
        <v>0.21</v>
      </c>
      <c r="P39" s="2">
        <f t="shared" si="0"/>
        <v>0.21</v>
      </c>
    </row>
    <row r="40" spans="1:16" x14ac:dyDescent="0.55000000000000004">
      <c r="A40">
        <v>32</v>
      </c>
      <c r="B40">
        <v>1</v>
      </c>
      <c r="C40" t="s">
        <v>147</v>
      </c>
      <c r="D40" t="s">
        <v>148</v>
      </c>
      <c r="E40" t="s">
        <v>141</v>
      </c>
      <c r="F40" t="s">
        <v>142</v>
      </c>
      <c r="G40" t="s">
        <v>143</v>
      </c>
      <c r="H40" t="s">
        <v>33</v>
      </c>
      <c r="I40" t="s">
        <v>33</v>
      </c>
      <c r="J40" t="s">
        <v>144</v>
      </c>
      <c r="K40" t="s">
        <v>145</v>
      </c>
      <c r="L40" t="s">
        <v>146</v>
      </c>
      <c r="M40" t="s">
        <v>33</v>
      </c>
      <c r="N40">
        <v>1</v>
      </c>
      <c r="O40" s="3">
        <v>0.21</v>
      </c>
      <c r="P40" s="2">
        <f t="shared" si="0"/>
        <v>0.21</v>
      </c>
    </row>
    <row r="41" spans="1:16" x14ac:dyDescent="0.55000000000000004">
      <c r="A41">
        <v>33</v>
      </c>
      <c r="B41">
        <v>1</v>
      </c>
      <c r="C41" t="s">
        <v>149</v>
      </c>
      <c r="D41" t="s">
        <v>150</v>
      </c>
      <c r="E41" t="s">
        <v>151</v>
      </c>
      <c r="F41" t="s">
        <v>152</v>
      </c>
      <c r="G41" t="s">
        <v>179</v>
      </c>
      <c r="H41" t="s">
        <v>33</v>
      </c>
      <c r="I41" t="s">
        <v>33</v>
      </c>
      <c r="J41" t="s">
        <v>45</v>
      </c>
      <c r="K41" t="s">
        <v>177</v>
      </c>
      <c r="L41" t="s">
        <v>178</v>
      </c>
      <c r="M41" t="s">
        <v>33</v>
      </c>
      <c r="N41">
        <v>1</v>
      </c>
      <c r="O41" s="3">
        <v>0.8</v>
      </c>
      <c r="P41" s="2">
        <f t="shared" si="0"/>
        <v>0.8</v>
      </c>
    </row>
    <row r="42" spans="1:16" x14ac:dyDescent="0.55000000000000004">
      <c r="A42">
        <v>34</v>
      </c>
      <c r="B42">
        <v>1</v>
      </c>
      <c r="C42" t="s">
        <v>153</v>
      </c>
      <c r="D42" t="s">
        <v>33</v>
      </c>
      <c r="E42" t="s">
        <v>154</v>
      </c>
      <c r="F42" t="s">
        <v>155</v>
      </c>
      <c r="G42" t="s">
        <v>168</v>
      </c>
      <c r="H42" t="s">
        <v>33</v>
      </c>
      <c r="I42" t="s">
        <v>33</v>
      </c>
      <c r="J42" t="s">
        <v>165</v>
      </c>
      <c r="K42" t="s">
        <v>164</v>
      </c>
      <c r="L42" t="s">
        <v>166</v>
      </c>
      <c r="M42" t="s">
        <v>167</v>
      </c>
      <c r="N42">
        <v>1</v>
      </c>
      <c r="O42" s="3">
        <v>0.24</v>
      </c>
      <c r="P42" s="2">
        <f t="shared" si="0"/>
        <v>0.24</v>
      </c>
    </row>
    <row r="43" spans="1:16" x14ac:dyDescent="0.55000000000000004">
      <c r="A43">
        <v>35</v>
      </c>
      <c r="B43">
        <v>1</v>
      </c>
      <c r="C43" t="s">
        <v>156</v>
      </c>
      <c r="D43" t="s">
        <v>157</v>
      </c>
      <c r="E43" t="s">
        <v>158</v>
      </c>
      <c r="F43" t="s">
        <v>159</v>
      </c>
      <c r="G43" t="s">
        <v>33</v>
      </c>
      <c r="H43" t="s">
        <v>33</v>
      </c>
      <c r="I43" t="s">
        <v>33</v>
      </c>
      <c r="J43" t="s">
        <v>193</v>
      </c>
      <c r="K43" t="s">
        <v>194</v>
      </c>
      <c r="L43" t="s">
        <v>195</v>
      </c>
      <c r="M43" t="s">
        <v>33</v>
      </c>
      <c r="N43">
        <v>50</v>
      </c>
      <c r="O43" s="3">
        <v>9.99</v>
      </c>
      <c r="P43" s="2">
        <f t="shared" si="0"/>
        <v>0.19980000000000001</v>
      </c>
    </row>
    <row r="46" spans="1:16" x14ac:dyDescent="0.55000000000000004">
      <c r="P46" s="2"/>
    </row>
  </sheetData>
  <hyperlinks>
    <hyperlink ref="L33" r:id="rId1" xr:uid="{25BE8415-7C2D-40FB-ACA9-F29982F827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weather_station_lowpower_BOM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Jena Shields</cp:lastModifiedBy>
  <dcterms:created xsi:type="dcterms:W3CDTF">2025-05-28T22:35:11Z</dcterms:created>
  <dcterms:modified xsi:type="dcterms:W3CDTF">2025-06-04T20:09:58Z</dcterms:modified>
</cp:coreProperties>
</file>