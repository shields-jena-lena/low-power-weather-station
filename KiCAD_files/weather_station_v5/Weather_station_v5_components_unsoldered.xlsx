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el\Documents\Github\low-power-weather-station\KiCAD_files\weather_station_v5\"/>
    </mc:Choice>
  </mc:AlternateContent>
  <xr:revisionPtr revIDLastSave="0" documentId="13_ncr:1_{F267C021-762C-4D26-A129-E33A6D668369}" xr6:coauthVersionLast="47" xr6:coauthVersionMax="47" xr10:uidLastSave="{00000000-0000-0000-0000-000000000000}"/>
  <bookViews>
    <workbookView xWindow="876" yWindow="336" windowWidth="22116" windowHeight="12738" xr2:uid="{F9B17DE7-B4AA-4BE7-856E-F3D664627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L24" i="1"/>
  <c r="L25" i="1"/>
  <c r="L26" i="1"/>
  <c r="B5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8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<sst xmlns="http://schemas.openxmlformats.org/spreadsheetml/2006/main" count="157" uniqueCount="102">
  <si>
    <t>Date:</t>
  </si>
  <si>
    <t>Component Count:</t>
  </si>
  <si>
    <t>Item</t>
  </si>
  <si>
    <t>Qty</t>
  </si>
  <si>
    <t>Value</t>
  </si>
  <si>
    <t>Datasheet</t>
  </si>
  <si>
    <t>~</t>
  </si>
  <si>
    <t>Type:</t>
  </si>
  <si>
    <t>Type</t>
  </si>
  <si>
    <t>Battery holder</t>
  </si>
  <si>
    <t xml:space="preserve">Battery  </t>
  </si>
  <si>
    <t>Real Time Clock</t>
  </si>
  <si>
    <t>wind sensors</t>
  </si>
  <si>
    <t>Temp/humidity sensor</t>
  </si>
  <si>
    <t>Sensor box</t>
  </si>
  <si>
    <t>Sensor box bolt</t>
  </si>
  <si>
    <t>sensor box nut</t>
  </si>
  <si>
    <t xml:space="preserve">Sensor box screws </t>
  </si>
  <si>
    <t>JST wire</t>
  </si>
  <si>
    <t>Link</t>
  </si>
  <si>
    <t>Coin Battery</t>
  </si>
  <si>
    <t>Housing box</t>
  </si>
  <si>
    <t>LP-70F</t>
  </si>
  <si>
    <t>Company/Manufacturer</t>
  </si>
  <si>
    <t>Polycase</t>
  </si>
  <si>
    <t>Housing box screws</t>
  </si>
  <si>
    <t>SCREWS-MBR-100</t>
  </si>
  <si>
    <t>https://www.polycase.com/screws-mbr-100</t>
  </si>
  <si>
    <t>#4-24 x .25"</t>
  </si>
  <si>
    <t>Part #</t>
  </si>
  <si>
    <t>LP-70FMB</t>
  </si>
  <si>
    <t>https://www.polycase.com/lp-70f</t>
  </si>
  <si>
    <t>Note</t>
  </si>
  <si>
    <t>https://www.homedepot.com/p/Everbilt-2-x-3-8-in-Phillips-Round-Head-Brass-Wood-Screw-6-Pack-809901/204587524</t>
  </si>
  <si>
    <t>#2 x 3/8"</t>
  </si>
  <si>
    <t>#8-32</t>
  </si>
  <si>
    <t>#8-32 x 1/2"</t>
  </si>
  <si>
    <t>https://www.homedepot.com/p/Everbilt-8-32-Zinc-Plated-Machine-Screw-Nut-100-Pack-800252/204273373</t>
  </si>
  <si>
    <t>https://www.homedepot.com/p/8-32-x-1-2-in-Zinc-Plated-Combo-Round-Head-Machine-Screw-100-Pack-800732/204274425#overlay</t>
  </si>
  <si>
    <t>https://www.amazon.com/dp/B00LSG5BKO?ref_=pe_1815430_211938580</t>
  </si>
  <si>
    <t>18650 Battery Clip Holder Box Case</t>
  </si>
  <si>
    <t>Amazon/HiLetgo</t>
  </si>
  <si>
    <t>B00LSG5BKO</t>
  </si>
  <si>
    <t>Home Depot/Everbilt</t>
  </si>
  <si>
    <t>18650 26V 2550mAh 7.5A</t>
  </si>
  <si>
    <t>18650 Battery Store/EVE</t>
  </si>
  <si>
    <t>ICR18650-26V</t>
  </si>
  <si>
    <t>CR1220</t>
  </si>
  <si>
    <t>Amazon/SKOANBE</t>
  </si>
  <si>
    <t>B08GKYCD1Z</t>
  </si>
  <si>
    <t>https://www.amazon.com/gp/product/B08GKYCD1Z/ref=ox_sc_act_title_2?smid=A2DJT6HLNLTD4S&amp;th=1</t>
  </si>
  <si>
    <t>ATMEGA328P-PU</t>
  </si>
  <si>
    <t>Microcontroller unit</t>
  </si>
  <si>
    <t>Digikey/Microchip Technology</t>
  </si>
  <si>
    <t>https://www.digikey.com/en/products/detail/microchip-technology/ATMEGA328P-PU/1914589</t>
  </si>
  <si>
    <t>ATMEGA328P-PU-ND</t>
  </si>
  <si>
    <t>PCB board</t>
  </si>
  <si>
    <t>PCBWay</t>
  </si>
  <si>
    <t>https://www.pcbway.com/</t>
  </si>
  <si>
    <t>Manufacturer for PCB board</t>
  </si>
  <si>
    <t>BME280</t>
  </si>
  <si>
    <t>Adafruit</t>
  </si>
  <si>
    <t>https://www.adafruit.com/product/2652</t>
  </si>
  <si>
    <t>Wind/Rain Sensor Assembly (less rain gauge)</t>
  </si>
  <si>
    <t>Argent data</t>
  </si>
  <si>
    <t>https://www.argentdata.com/catalog/product_info.php?products_id=145</t>
  </si>
  <si>
    <t>DS3231</t>
  </si>
  <si>
    <t>https://www.adafruit.com/product/5188</t>
  </si>
  <si>
    <t>microSD card</t>
  </si>
  <si>
    <t xml:space="preserve">32 GB microSD </t>
  </si>
  <si>
    <t>Amazon/Lexar</t>
  </si>
  <si>
    <t>https://www.amazon.com/Lexar-Micro-microSDHC-Memory-Adapter/dp/B0CPDGYLGC/ref=sr_1_1_sspa?crid=33B3LE2J0N183&amp;dib=eyJ2IjoiMSJ9.-14J3gHOFbHKiyXMk5PaYNqTrD5JpQUTyqDrVcHVPj0ZhiOfDNETi_XnDbTy_h6KDxKDElxjUJjGOQI8AESt_y8wfJ2JHsSnHCz72qSDB3IrENCKsmbGggNiCL5iNcaMtzZMB5qqUxd6_RTtV-7r-MQWC2EMYWD1SSdUuZlC7AaTMI4wIvV3z6BMNty_ex8XdfLlGEiIWu3nP8vMvwEaZvIRxbdnoSs-t12oNLN9JRk.UKeFt6k0Jdi5y1ZqDjLal89oYJiZ9jQz1dbvZRo6Cj0&amp;dib_tag=se&amp;keywords=micro%2Bsd%2Bcard%2B32gb&amp;qid=1724348781&amp;sprefix=micro%2Bsd%2Bcard%2B%2Caps%2C85&amp;sr=8-1-spons&amp;sp_csd=d2lkZ2V0TmFtZT1zcF9hdGY&amp;th=1</t>
  </si>
  <si>
    <t>LMSESXX032G-B5AAA</t>
  </si>
  <si>
    <t>Mini Micro SH 1.0 JST 4-pin connector plug male with 150mm cable</t>
  </si>
  <si>
    <t>Amazon/Daier</t>
  </si>
  <si>
    <t>https://www.amazon.com/dp/B01DUC1M2O?ref_=pe_1815430_211938580</t>
  </si>
  <si>
    <t>Two soldered together for a longer cable</t>
  </si>
  <si>
    <t>B01DUC1M2O</t>
  </si>
  <si>
    <t>Non soldered components of weather station</t>
  </si>
  <si>
    <t>Number bought</t>
  </si>
  <si>
    <t>Price for 1 station</t>
  </si>
  <si>
    <t>https://www.18650batterystore.com/products/eve-26v-18650-button-top-battery</t>
  </si>
  <si>
    <t xml:space="preserve">price </t>
  </si>
  <si>
    <t>total</t>
  </si>
  <si>
    <t>Includes shipping and tax</t>
  </si>
  <si>
    <t>Estimate</t>
  </si>
  <si>
    <t>Includes shipping and tax, with deal</t>
  </si>
  <si>
    <t>U post</t>
  </si>
  <si>
    <t>https://cdn.shopify.com/s/files/1/0481/9678/0183/files/EVE_ICR18650-26V_RD-EVE_ICR18650-26V-S118-LF-A.pdf?v=1620678333</t>
  </si>
  <si>
    <t>https://www.argentdata.com/files/80422_datasheet.pdf</t>
  </si>
  <si>
    <t>https://ww1.microchip.com/downloads/en/DeviceDoc/ATmega48A-PA-88A-PA-168A-PA-328-P-DS-DS40002061B.pdf</t>
  </si>
  <si>
    <t>3D-printed (CAD files located:..\CAD_files)</t>
  </si>
  <si>
    <t>3ft - 7ft</t>
  </si>
  <si>
    <t>Mounting post nut</t>
  </si>
  <si>
    <t>Mounting post screw</t>
  </si>
  <si>
    <t>Adjustable hose clamp</t>
  </si>
  <si>
    <t>#8-32 x 1-3/4"</t>
  </si>
  <si>
    <t>Mounting post clamp</t>
  </si>
  <si>
    <t>Came with argent data order</t>
  </si>
  <si>
    <t>https://www.homedepot.com/p/Everbilt-8-32-x-1-3-4-in-Zinc-Plated-Combo-Truss-Head-Machine-Screw-50-Pack-800992/204282656</t>
  </si>
  <si>
    <t>901157EB</t>
  </si>
  <si>
    <t>https://www.homedepot.com/p/Everbilt-1-in-x-2-1-4-in-x-7-ft-Green-Steel-Fence-U-Post-with-Anchor-Plate-901157EB/205960885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</si>
</sst>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2" fillId="0" borderId="0" xfId="2"/>
    <xf numFmtId="44" fontId="0" fillId="0" borderId="0" xfId="1" applyFont="1"/>
    <xf numFmtId="44" fontId="0" fillId="0" borderId="1" xfId="1" applyFont="1" applyBorder="1" applyAlignment="1">
      <alignment vertical="top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olycase.com/lp-70f" TargetMode="External"/><Relationship Id="rId13" Type="http://schemas.openxmlformats.org/officeDocument/2006/relationships/hyperlink" Target="https://www.amazon.com/dp/B01DUC1M2O?ref_=pe_1815430_211938580" TargetMode="External"/><Relationship Id="rId3" Type="http://schemas.openxmlformats.org/officeDocument/2006/relationships/hyperlink" Target="https://www.adafruit.com/product/5188" TargetMode="External"/><Relationship Id="rId7" Type="http://schemas.openxmlformats.org/officeDocument/2006/relationships/hyperlink" Target="https://www.argentdata.com/catalog/product_info.php?products_id=145" TargetMode="External"/><Relationship Id="rId12" Type="http://schemas.openxmlformats.org/officeDocument/2006/relationships/hyperlink" Target="https://www.amazon.com/dp/B00LSG5BKO?ref_=pe_1815430_211938580" TargetMode="External"/><Relationship Id="rId2" Type="http://schemas.openxmlformats.org/officeDocument/2006/relationships/hyperlink" Target="https://www.18650batterystore.com/products/eve-26v-18650-button-top-battery" TargetMode="External"/><Relationship Id="rId1" Type="http://schemas.openxmlformats.org/officeDocument/2006/relationships/hyperlink" Target="https://www.homedepot.com/p/8-32-x-1-2-in-Zinc-Plated-Combo-Round-Head-Machine-Screw-100-Pack-800732/204274425" TargetMode="External"/><Relationship Id="rId6" Type="http://schemas.openxmlformats.org/officeDocument/2006/relationships/hyperlink" Target="https://www.digikey.com/en/products/detail/microchip-technology/ATMEGA328P-PU/1914589" TargetMode="External"/><Relationship Id="rId11" Type="http://schemas.openxmlformats.org/officeDocument/2006/relationships/hyperlink" Target="https://www.homedepot.com/p/Everbilt-2-x-3-8-in-Phillips-Round-Head-Brass-Wood-Screw-6-Pack-809901/204587524" TargetMode="External"/><Relationship Id="rId5" Type="http://schemas.openxmlformats.org/officeDocument/2006/relationships/hyperlink" Target="https://www.adafruit.com/product/2652" TargetMode="External"/><Relationship Id="rId15" Type="http://schemas.openxmlformats.org/officeDocument/2006/relationships/hyperlink" Target="https://www.homedepot.com/p/Everbilt-8-32-Zinc-Plated-Machine-Screw-Nut-100-Pack-800252/204273373" TargetMode="External"/><Relationship Id="rId10" Type="http://schemas.openxmlformats.org/officeDocument/2006/relationships/hyperlink" Target="https://www.homedepot.com/p/Everbilt-8-32-Zinc-Plated-Machine-Screw-Nut-100-Pack-800252/204273373" TargetMode="External"/><Relationship Id="rId4" Type="http://schemas.openxmlformats.org/officeDocument/2006/relationships/hyperlink" Target="https://www.amazon.com/gp/product/B08GKYCD1Z/ref=ox_sc_act_title_2?smid=A2DJT6HLNLTD4S&amp;th=1" TargetMode="External"/><Relationship Id="rId9" Type="http://schemas.openxmlformats.org/officeDocument/2006/relationships/hyperlink" Target="https://www.polycase.com/screws-mbr-100" TargetMode="External"/><Relationship Id="rId14" Type="http://schemas.openxmlformats.org/officeDocument/2006/relationships/hyperlink" Target="https://www.pcbwa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B14A-85E0-4FE0-BFA3-00792B1620A0}">
  <dimension ref="A1:M28"/>
  <sheetViews>
    <sheetView tabSelected="1" topLeftCell="A3" zoomScale="82" workbookViewId="0">
      <selection activeCell="C32" sqref="C32"/>
    </sheetView>
  </sheetViews>
  <sheetFormatPr defaultRowHeight="14.4" x14ac:dyDescent="0.55000000000000004"/>
  <cols>
    <col min="2" max="2" width="13.89453125" bestFit="1" customWidth="1"/>
    <col min="11" max="11" width="9.89453125" bestFit="1" customWidth="1"/>
    <col min="12" max="12" width="8.83984375" style="3"/>
  </cols>
  <sheetData>
    <row r="1" spans="1:13" x14ac:dyDescent="0.55000000000000004">
      <c r="A1" t="s">
        <v>7</v>
      </c>
      <c r="B1" t="s">
        <v>78</v>
      </c>
    </row>
    <row r="2" spans="1:13" x14ac:dyDescent="0.55000000000000004">
      <c r="A2" t="s">
        <v>0</v>
      </c>
      <c r="B2" s="1">
        <v>45805.625</v>
      </c>
    </row>
    <row r="5" spans="1:13" x14ac:dyDescent="0.55000000000000004">
      <c r="A5" t="s">
        <v>1</v>
      </c>
      <c r="B5">
        <f>SUM(B8:B27)</f>
        <v>29</v>
      </c>
    </row>
    <row r="7" spans="1:13" x14ac:dyDescent="0.55000000000000004">
      <c r="A7" t="s">
        <v>2</v>
      </c>
      <c r="B7" t="s">
        <v>3</v>
      </c>
      <c r="C7" t="s">
        <v>8</v>
      </c>
      <c r="D7" t="s">
        <v>4</v>
      </c>
      <c r="E7" t="s">
        <v>5</v>
      </c>
      <c r="F7" t="s">
        <v>23</v>
      </c>
      <c r="G7" t="s">
        <v>29</v>
      </c>
      <c r="H7" t="s">
        <v>19</v>
      </c>
      <c r="I7" t="s">
        <v>32</v>
      </c>
      <c r="J7" t="s">
        <v>79</v>
      </c>
      <c r="K7" t="s">
        <v>82</v>
      </c>
      <c r="L7" s="3" t="s">
        <v>80</v>
      </c>
      <c r="M7" t="s">
        <v>32</v>
      </c>
    </row>
    <row r="8" spans="1:13" x14ac:dyDescent="0.55000000000000004">
      <c r="A8">
        <v>36</v>
      </c>
      <c r="B8">
        <v>1</v>
      </c>
      <c r="C8" t="s">
        <v>9</v>
      </c>
      <c r="D8" t="s">
        <v>40</v>
      </c>
      <c r="E8" t="s">
        <v>6</v>
      </c>
      <c r="F8" t="s">
        <v>41</v>
      </c>
      <c r="G8" t="s">
        <v>42</v>
      </c>
      <c r="H8" s="2" t="s">
        <v>39</v>
      </c>
      <c r="I8" t="s">
        <v>6</v>
      </c>
      <c r="J8">
        <v>10</v>
      </c>
      <c r="K8" s="3">
        <v>7.99</v>
      </c>
      <c r="L8" s="3">
        <f>K8/J8*B8</f>
        <v>0.79900000000000004</v>
      </c>
    </row>
    <row r="9" spans="1:13" x14ac:dyDescent="0.55000000000000004">
      <c r="A9">
        <f>A8+1</f>
        <v>37</v>
      </c>
      <c r="B9">
        <v>1</v>
      </c>
      <c r="C9" t="s">
        <v>10</v>
      </c>
      <c r="D9" t="s">
        <v>44</v>
      </c>
      <c r="E9" t="s">
        <v>88</v>
      </c>
      <c r="F9" t="s">
        <v>45</v>
      </c>
      <c r="G9" t="s">
        <v>46</v>
      </c>
      <c r="H9" s="2" t="s">
        <v>81</v>
      </c>
      <c r="I9" t="s">
        <v>6</v>
      </c>
      <c r="J9">
        <v>50</v>
      </c>
      <c r="K9" s="4">
        <v>113.47</v>
      </c>
      <c r="L9" s="3">
        <f t="shared" ref="L9:L24" si="0">K9/J9*B9</f>
        <v>2.2694000000000001</v>
      </c>
      <c r="M9" t="s">
        <v>86</v>
      </c>
    </row>
    <row r="10" spans="1:13" x14ac:dyDescent="0.55000000000000004">
      <c r="A10">
        <f t="shared" ref="A10:A22" si="1">A9+1</f>
        <v>38</v>
      </c>
      <c r="B10">
        <v>1</v>
      </c>
      <c r="C10" t="s">
        <v>11</v>
      </c>
      <c r="D10" t="s">
        <v>66</v>
      </c>
      <c r="E10" t="s">
        <v>6</v>
      </c>
      <c r="F10" t="s">
        <v>61</v>
      </c>
      <c r="G10">
        <v>5188</v>
      </c>
      <c r="H10" s="2" t="s">
        <v>67</v>
      </c>
      <c r="I10" t="s">
        <v>6</v>
      </c>
      <c r="J10">
        <v>1</v>
      </c>
      <c r="K10" s="3">
        <v>13.95</v>
      </c>
      <c r="L10" s="3">
        <f t="shared" si="0"/>
        <v>13.95</v>
      </c>
    </row>
    <row r="11" spans="1:13" x14ac:dyDescent="0.55000000000000004">
      <c r="A11">
        <f t="shared" si="1"/>
        <v>39</v>
      </c>
      <c r="B11">
        <v>1</v>
      </c>
      <c r="C11" t="s">
        <v>20</v>
      </c>
      <c r="D11" t="s">
        <v>47</v>
      </c>
      <c r="E11" t="s">
        <v>6</v>
      </c>
      <c r="F11" t="s">
        <v>48</v>
      </c>
      <c r="G11" t="s">
        <v>49</v>
      </c>
      <c r="H11" s="2" t="s">
        <v>50</v>
      </c>
      <c r="I11" t="s">
        <v>6</v>
      </c>
      <c r="J11">
        <v>24</v>
      </c>
      <c r="K11" s="3">
        <v>9.99</v>
      </c>
      <c r="L11" s="3">
        <f t="shared" si="0"/>
        <v>0.41625000000000001</v>
      </c>
    </row>
    <row r="12" spans="1:13" x14ac:dyDescent="0.55000000000000004">
      <c r="A12">
        <f t="shared" si="1"/>
        <v>40</v>
      </c>
      <c r="B12">
        <v>2</v>
      </c>
      <c r="C12" t="s">
        <v>18</v>
      </c>
      <c r="D12" t="s">
        <v>73</v>
      </c>
      <c r="E12" t="s">
        <v>6</v>
      </c>
      <c r="F12" t="s">
        <v>74</v>
      </c>
      <c r="G12" t="s">
        <v>77</v>
      </c>
      <c r="H12" s="2" t="s">
        <v>75</v>
      </c>
      <c r="I12" t="s">
        <v>76</v>
      </c>
      <c r="J12">
        <v>20</v>
      </c>
      <c r="K12" s="3">
        <v>8.39</v>
      </c>
      <c r="L12" s="3">
        <f t="shared" si="0"/>
        <v>0.83900000000000008</v>
      </c>
    </row>
    <row r="13" spans="1:13" x14ac:dyDescent="0.55000000000000004">
      <c r="A13">
        <f t="shared" si="1"/>
        <v>41</v>
      </c>
      <c r="B13">
        <v>1</v>
      </c>
      <c r="C13" t="s">
        <v>13</v>
      </c>
      <c r="D13" t="s">
        <v>60</v>
      </c>
      <c r="E13" t="s">
        <v>6</v>
      </c>
      <c r="F13" t="s">
        <v>61</v>
      </c>
      <c r="G13">
        <v>2652</v>
      </c>
      <c r="H13" s="2" t="s">
        <v>62</v>
      </c>
      <c r="I13" t="s">
        <v>6</v>
      </c>
      <c r="J13">
        <v>1</v>
      </c>
      <c r="K13" s="3">
        <v>14.95</v>
      </c>
      <c r="L13" s="3">
        <f t="shared" si="0"/>
        <v>14.95</v>
      </c>
    </row>
    <row r="14" spans="1:13" x14ac:dyDescent="0.55000000000000004">
      <c r="A14">
        <f t="shared" si="1"/>
        <v>42</v>
      </c>
      <c r="B14">
        <v>1</v>
      </c>
      <c r="C14" t="s">
        <v>68</v>
      </c>
      <c r="D14" t="s">
        <v>69</v>
      </c>
      <c r="E14" t="s">
        <v>6</v>
      </c>
      <c r="F14" t="s">
        <v>70</v>
      </c>
      <c r="G14" t="s">
        <v>72</v>
      </c>
      <c r="H14" t="s">
        <v>71</v>
      </c>
      <c r="I14" t="s">
        <v>6</v>
      </c>
      <c r="J14">
        <v>5</v>
      </c>
      <c r="K14" s="3">
        <v>25.99</v>
      </c>
      <c r="L14" s="3">
        <f t="shared" si="0"/>
        <v>5.1979999999999995</v>
      </c>
    </row>
    <row r="15" spans="1:13" x14ac:dyDescent="0.55000000000000004">
      <c r="A15">
        <f t="shared" si="1"/>
        <v>43</v>
      </c>
      <c r="B15">
        <v>1</v>
      </c>
      <c r="C15" t="s">
        <v>52</v>
      </c>
      <c r="D15" t="s">
        <v>51</v>
      </c>
      <c r="E15" t="s">
        <v>90</v>
      </c>
      <c r="F15" t="s">
        <v>53</v>
      </c>
      <c r="G15" t="s">
        <v>55</v>
      </c>
      <c r="H15" s="2" t="s">
        <v>54</v>
      </c>
      <c r="I15" t="s">
        <v>6</v>
      </c>
      <c r="J15">
        <v>1</v>
      </c>
      <c r="K15" s="3">
        <v>2.89</v>
      </c>
      <c r="L15" s="3">
        <f t="shared" si="0"/>
        <v>2.89</v>
      </c>
    </row>
    <row r="16" spans="1:13" x14ac:dyDescent="0.55000000000000004">
      <c r="A16">
        <f t="shared" si="1"/>
        <v>44</v>
      </c>
      <c r="B16">
        <v>1</v>
      </c>
      <c r="C16" t="s">
        <v>12</v>
      </c>
      <c r="D16" t="s">
        <v>63</v>
      </c>
      <c r="E16" t="s">
        <v>89</v>
      </c>
      <c r="F16" t="s">
        <v>64</v>
      </c>
      <c r="G16">
        <v>80422</v>
      </c>
      <c r="H16" s="2" t="s">
        <v>65</v>
      </c>
      <c r="I16" t="s">
        <v>6</v>
      </c>
      <c r="J16">
        <v>50</v>
      </c>
      <c r="K16" s="3">
        <v>2295.42</v>
      </c>
      <c r="L16" s="3">
        <f t="shared" si="0"/>
        <v>45.9084</v>
      </c>
      <c r="M16" t="s">
        <v>84</v>
      </c>
    </row>
    <row r="17" spans="1:13" x14ac:dyDescent="0.55000000000000004">
      <c r="A17">
        <f t="shared" si="1"/>
        <v>45</v>
      </c>
      <c r="B17">
        <v>1</v>
      </c>
      <c r="C17" t="s">
        <v>21</v>
      </c>
      <c r="D17" t="s">
        <v>22</v>
      </c>
      <c r="E17" t="s">
        <v>6</v>
      </c>
      <c r="F17" t="s">
        <v>24</v>
      </c>
      <c r="G17" t="s">
        <v>30</v>
      </c>
      <c r="H17" s="2" t="s">
        <v>31</v>
      </c>
      <c r="I17" t="s">
        <v>6</v>
      </c>
      <c r="J17">
        <v>1</v>
      </c>
      <c r="K17" s="3">
        <v>5.4</v>
      </c>
      <c r="L17" s="3">
        <f t="shared" si="0"/>
        <v>5.4</v>
      </c>
    </row>
    <row r="18" spans="1:13" x14ac:dyDescent="0.55000000000000004">
      <c r="A18">
        <f t="shared" si="1"/>
        <v>46</v>
      </c>
      <c r="B18">
        <v>6</v>
      </c>
      <c r="C18" t="s">
        <v>25</v>
      </c>
      <c r="D18" t="s">
        <v>28</v>
      </c>
      <c r="E18" t="s">
        <v>6</v>
      </c>
      <c r="F18" t="s">
        <v>24</v>
      </c>
      <c r="G18" t="s">
        <v>26</v>
      </c>
      <c r="H18" s="2" t="s">
        <v>27</v>
      </c>
      <c r="I18" t="s">
        <v>6</v>
      </c>
      <c r="J18">
        <v>100</v>
      </c>
      <c r="K18" s="3">
        <v>4.22</v>
      </c>
      <c r="L18" s="3">
        <f t="shared" si="0"/>
        <v>0.25319999999999998</v>
      </c>
    </row>
    <row r="19" spans="1:13" x14ac:dyDescent="0.55000000000000004">
      <c r="A19">
        <f t="shared" si="1"/>
        <v>47</v>
      </c>
      <c r="B19">
        <v>1</v>
      </c>
      <c r="C19" t="s">
        <v>14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91</v>
      </c>
      <c r="J19">
        <v>50</v>
      </c>
      <c r="K19" s="3">
        <v>204</v>
      </c>
      <c r="L19" s="3">
        <f t="shared" si="0"/>
        <v>4.08</v>
      </c>
      <c r="M19" t="s">
        <v>85</v>
      </c>
    </row>
    <row r="20" spans="1:13" x14ac:dyDescent="0.55000000000000004">
      <c r="A20">
        <f t="shared" si="1"/>
        <v>48</v>
      </c>
      <c r="B20">
        <v>1</v>
      </c>
      <c r="C20" t="s">
        <v>15</v>
      </c>
      <c r="D20" t="s">
        <v>36</v>
      </c>
      <c r="E20" t="s">
        <v>6</v>
      </c>
      <c r="F20" t="s">
        <v>43</v>
      </c>
      <c r="G20">
        <v>800732</v>
      </c>
      <c r="H20" s="2" t="s">
        <v>38</v>
      </c>
      <c r="I20" t="s">
        <v>6</v>
      </c>
      <c r="J20">
        <v>100</v>
      </c>
      <c r="K20" s="3">
        <v>8.9700000000000006</v>
      </c>
      <c r="L20" s="3">
        <f t="shared" si="0"/>
        <v>8.9700000000000002E-2</v>
      </c>
    </row>
    <row r="21" spans="1:13" x14ac:dyDescent="0.55000000000000004">
      <c r="A21">
        <f t="shared" si="1"/>
        <v>49</v>
      </c>
      <c r="B21">
        <v>1</v>
      </c>
      <c r="C21" t="s">
        <v>16</v>
      </c>
      <c r="D21" t="s">
        <v>35</v>
      </c>
      <c r="E21" t="s">
        <v>6</v>
      </c>
      <c r="F21" t="s">
        <v>43</v>
      </c>
      <c r="G21">
        <v>800252</v>
      </c>
      <c r="H21" s="2" t="s">
        <v>37</v>
      </c>
      <c r="I21" t="s">
        <v>6</v>
      </c>
      <c r="J21">
        <v>100</v>
      </c>
      <c r="K21" s="3">
        <v>7.67</v>
      </c>
      <c r="L21" s="3">
        <f t="shared" si="0"/>
        <v>7.6700000000000004E-2</v>
      </c>
    </row>
    <row r="22" spans="1:13" x14ac:dyDescent="0.55000000000000004">
      <c r="A22">
        <f t="shared" si="1"/>
        <v>50</v>
      </c>
      <c r="B22">
        <v>4</v>
      </c>
      <c r="C22" t="s">
        <v>17</v>
      </c>
      <c r="D22" t="s">
        <v>34</v>
      </c>
      <c r="E22" t="s">
        <v>6</v>
      </c>
      <c r="F22" t="s">
        <v>43</v>
      </c>
      <c r="G22">
        <v>809901</v>
      </c>
      <c r="H22" s="2" t="s">
        <v>33</v>
      </c>
      <c r="I22" t="s">
        <v>6</v>
      </c>
      <c r="J22">
        <v>6</v>
      </c>
      <c r="K22" s="3">
        <v>1.47</v>
      </c>
      <c r="L22" s="3">
        <f t="shared" si="0"/>
        <v>0.98</v>
      </c>
    </row>
    <row r="23" spans="1:13" x14ac:dyDescent="0.55000000000000004">
      <c r="A23">
        <v>51</v>
      </c>
      <c r="B23">
        <v>1</v>
      </c>
      <c r="C23" t="s">
        <v>56</v>
      </c>
      <c r="D23" t="s">
        <v>6</v>
      </c>
      <c r="E23" t="s">
        <v>6</v>
      </c>
      <c r="F23" t="s">
        <v>57</v>
      </c>
      <c r="G23" t="s">
        <v>6</v>
      </c>
      <c r="H23" s="2" t="s">
        <v>58</v>
      </c>
      <c r="I23" t="s">
        <v>59</v>
      </c>
      <c r="J23">
        <v>10</v>
      </c>
      <c r="K23" s="3">
        <v>26.26</v>
      </c>
      <c r="L23" s="3">
        <f t="shared" si="0"/>
        <v>2.6260000000000003</v>
      </c>
      <c r="M23" t="s">
        <v>86</v>
      </c>
    </row>
    <row r="24" spans="1:13" x14ac:dyDescent="0.55000000000000004">
      <c r="A24">
        <v>52</v>
      </c>
      <c r="B24">
        <v>1</v>
      </c>
      <c r="C24" t="s">
        <v>87</v>
      </c>
      <c r="D24" t="s">
        <v>92</v>
      </c>
      <c r="E24" t="s">
        <v>6</v>
      </c>
      <c r="F24" t="s">
        <v>43</v>
      </c>
      <c r="G24" t="s">
        <v>100</v>
      </c>
      <c r="H24" t="s">
        <v>101</v>
      </c>
      <c r="I24" t="s">
        <v>6</v>
      </c>
      <c r="J24">
        <v>1</v>
      </c>
      <c r="K24" s="3">
        <v>10.28</v>
      </c>
      <c r="L24" s="3">
        <f t="shared" si="0"/>
        <v>10.28</v>
      </c>
    </row>
    <row r="25" spans="1:13" x14ac:dyDescent="0.55000000000000004">
      <c r="A25">
        <v>53</v>
      </c>
      <c r="B25">
        <v>1</v>
      </c>
      <c r="C25" t="s">
        <v>93</v>
      </c>
      <c r="D25" t="s">
        <v>35</v>
      </c>
      <c r="E25" t="s">
        <v>6</v>
      </c>
      <c r="F25" t="s">
        <v>43</v>
      </c>
      <c r="G25">
        <v>800252</v>
      </c>
      <c r="H25" s="2" t="s">
        <v>37</v>
      </c>
      <c r="I25" t="s">
        <v>6</v>
      </c>
      <c r="J25">
        <v>100</v>
      </c>
      <c r="K25" s="3">
        <v>7.67</v>
      </c>
      <c r="L25" s="3">
        <f t="shared" ref="L25" si="2">K25/J25*B25</f>
        <v>7.6700000000000004E-2</v>
      </c>
    </row>
    <row r="26" spans="1:13" x14ac:dyDescent="0.55000000000000004">
      <c r="A26">
        <v>54</v>
      </c>
      <c r="B26">
        <v>1</v>
      </c>
      <c r="C26" t="s">
        <v>94</v>
      </c>
      <c r="D26" t="s">
        <v>96</v>
      </c>
      <c r="E26" t="s">
        <v>6</v>
      </c>
      <c r="F26" t="s">
        <v>43</v>
      </c>
      <c r="G26">
        <v>800992</v>
      </c>
      <c r="H26" t="s">
        <v>99</v>
      </c>
      <c r="I26" t="s">
        <v>6</v>
      </c>
      <c r="J26">
        <v>50</v>
      </c>
      <c r="K26" s="3">
        <v>8.98</v>
      </c>
      <c r="L26" s="3">
        <f>K26/J26*B26</f>
        <v>0.17960000000000001</v>
      </c>
    </row>
    <row r="27" spans="1:13" x14ac:dyDescent="0.55000000000000004">
      <c r="A27">
        <v>55</v>
      </c>
      <c r="B27">
        <v>1</v>
      </c>
      <c r="C27" t="s">
        <v>97</v>
      </c>
      <c r="D27" t="s">
        <v>95</v>
      </c>
      <c r="E27" t="s">
        <v>6</v>
      </c>
      <c r="F27" t="s">
        <v>64</v>
      </c>
      <c r="G27" t="s">
        <v>6</v>
      </c>
      <c r="H27" t="s">
        <v>6</v>
      </c>
      <c r="I27" t="s">
        <v>98</v>
      </c>
      <c r="J27" t="s">
        <v>6</v>
      </c>
      <c r="K27" t="s">
        <v>6</v>
      </c>
      <c r="L27" s="3" t="s">
        <v>6</v>
      </c>
    </row>
    <row r="28" spans="1:13" x14ac:dyDescent="0.55000000000000004">
      <c r="K28" t="s">
        <v>83</v>
      </c>
      <c r="L28" s="3">
        <f>SUM(L8:L27)</f>
        <v>111.26195000000001</v>
      </c>
    </row>
  </sheetData>
  <hyperlinks>
    <hyperlink ref="H20" r:id="rId1" location="overlay" xr:uid="{E87D7FB3-92C9-4A43-A72B-A4B708E3B79E}"/>
    <hyperlink ref="H9" r:id="rId2" xr:uid="{E2738693-274B-4B42-B2C4-5EB29F81B4B9}"/>
    <hyperlink ref="H10" r:id="rId3" xr:uid="{D7E5F0D1-82FE-4DFB-8877-4BD41BF8AAA2}"/>
    <hyperlink ref="H11" r:id="rId4" xr:uid="{FA485505-57F9-446A-A46E-6E84C0FC6D58}"/>
    <hyperlink ref="H13" r:id="rId5" xr:uid="{459BCCC4-2DDF-4286-AC0D-F50B7CFDC038}"/>
    <hyperlink ref="H15" r:id="rId6" xr:uid="{7D9C0532-8D82-46E3-9B66-FBF2CA9B14E6}"/>
    <hyperlink ref="H16" r:id="rId7" xr:uid="{23C8362D-FA76-4C62-9EBF-C73C1FC67FBD}"/>
    <hyperlink ref="H17" r:id="rId8" xr:uid="{DBD34B73-D921-4637-A1BC-785CA71E4DAF}"/>
    <hyperlink ref="H18" r:id="rId9" xr:uid="{EED1CB9C-2321-42C5-9E34-CD89B0EC9436}"/>
    <hyperlink ref="H21" r:id="rId10" xr:uid="{ED481CA2-5B5D-425D-92CC-FE377A4736FB}"/>
    <hyperlink ref="H22" r:id="rId11" xr:uid="{EBF0C129-09A7-47D3-AC0D-F8637F1F6725}"/>
    <hyperlink ref="H8" r:id="rId12" xr:uid="{0E7D4092-2757-4C10-98E3-C2E5F86FD72C}"/>
    <hyperlink ref="H12" r:id="rId13" xr:uid="{1D4CB617-1521-41D7-BE9F-94C168CF51D2}"/>
    <hyperlink ref="H23" r:id="rId14" xr:uid="{966FA085-E061-4795-9474-09D918B16ED2}"/>
    <hyperlink ref="H25" r:id="rId15" xr:uid="{E8A89D67-6FF0-4F5F-9F8E-11CB53E530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Jena Shields</dc:creator>
  <cp:lastModifiedBy>Jena Shields</cp:lastModifiedBy>
  <dcterms:created xsi:type="dcterms:W3CDTF">2025-05-28T19:18:09Z</dcterms:created>
  <dcterms:modified xsi:type="dcterms:W3CDTF">2025-06-16T17:15:44Z</dcterms:modified>
</cp:coreProperties>
</file>